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wo/Documents/Git/finance/"/>
    </mc:Choice>
  </mc:AlternateContent>
  <xr:revisionPtr revIDLastSave="0" documentId="13_ncr:1_{FD35F700-CA68-B44C-8D94-BDCB49F2B42E}" xr6:coauthVersionLast="47" xr6:coauthVersionMax="47" xr10:uidLastSave="{00000000-0000-0000-0000-000000000000}"/>
  <bookViews>
    <workbookView xWindow="0" yWindow="500" windowWidth="38400" windowHeight="19400" activeTab="1" xr2:uid="{6D5ED944-B229-8143-B2C1-40BBBC3F83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 a="1"/>
  <c r="J7" i="2" s="1"/>
  <c r="K7" i="2" a="1"/>
  <c r="K7" i="2" s="1"/>
  <c r="L7" i="2" a="1"/>
  <c r="L7" i="2" s="1"/>
  <c r="J8" i="2" a="1"/>
  <c r="J8" i="2" s="1"/>
  <c r="K8" i="2" a="1"/>
  <c r="K8" i="2" s="1"/>
  <c r="L8" i="2" a="1"/>
  <c r="L8" i="2" s="1"/>
  <c r="J9" i="2" a="1"/>
  <c r="J9" i="2" s="1"/>
  <c r="K9" i="2" a="1"/>
  <c r="K9" i="2" s="1"/>
  <c r="L9" i="2" a="1"/>
  <c r="L9" i="2" s="1"/>
  <c r="J10" i="2" a="1"/>
  <c r="J10" i="2" s="1"/>
  <c r="K10" i="2" a="1"/>
  <c r="K10" i="2" s="1"/>
  <c r="L10" i="2" a="1"/>
  <c r="L10" i="2" s="1"/>
  <c r="J11" i="2" a="1"/>
  <c r="J11" i="2" s="1"/>
  <c r="K11" i="2" a="1"/>
  <c r="K11" i="2" s="1"/>
  <c r="L11" i="2" a="1"/>
  <c r="L11" i="2" s="1"/>
  <c r="J12" i="2" a="1"/>
  <c r="J12" i="2" s="1"/>
  <c r="K12" i="2" a="1"/>
  <c r="K12" i="2" s="1"/>
  <c r="L12" i="2" a="1"/>
  <c r="L12" i="2" s="1"/>
  <c r="J13" i="2" a="1"/>
  <c r="J13" i="2" s="1"/>
  <c r="K13" i="2" a="1"/>
  <c r="K13" i="2" s="1"/>
  <c r="L13" i="2" a="1"/>
  <c r="L13" i="2" s="1"/>
  <c r="J14" i="2" a="1"/>
  <c r="J14" i="2" s="1"/>
  <c r="K14" i="2" a="1"/>
  <c r="K14" i="2" s="1"/>
  <c r="L14" i="2" a="1"/>
  <c r="L14" i="2" s="1"/>
  <c r="J15" i="2" a="1"/>
  <c r="J15" i="2" s="1"/>
  <c r="K15" i="2" a="1"/>
  <c r="K15" i="2" s="1"/>
  <c r="L15" i="2" a="1"/>
  <c r="L15" i="2" s="1"/>
  <c r="J16" i="2" a="1"/>
  <c r="J16" i="2" s="1"/>
  <c r="K16" i="2" a="1"/>
  <c r="K16" i="2" s="1"/>
  <c r="L16" i="2" a="1"/>
  <c r="L16" i="2" s="1"/>
  <c r="J17" i="2" a="1"/>
  <c r="J17" i="2" s="1"/>
  <c r="K17" i="2" a="1"/>
  <c r="K17" i="2" s="1"/>
  <c r="L17" i="2" a="1"/>
  <c r="L17" i="2" s="1"/>
  <c r="L6" i="2" a="1"/>
  <c r="L6" i="2" s="1"/>
  <c r="K6" i="2" a="1"/>
  <c r="K6" i="2" s="1"/>
  <c r="J6" i="2" a="1"/>
  <c r="J6" i="2" s="1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E343" i="2" s="1" a="1"/>
  <c r="E343" i="2" s="1"/>
  <c r="F343" i="2" s="1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E352" i="2" s="1" a="1"/>
  <c r="E352" i="2" s="1"/>
  <c r="F352" i="2" s="1"/>
  <c r="D352" i="2"/>
  <c r="C353" i="2"/>
  <c r="D353" i="2"/>
  <c r="C354" i="2"/>
  <c r="D354" i="2"/>
  <c r="C355" i="2"/>
  <c r="E355" i="2" s="1" a="1"/>
  <c r="E355" i="2" s="1"/>
  <c r="F355" i="2" s="1"/>
  <c r="D355" i="2"/>
  <c r="C356" i="2"/>
  <c r="D356" i="2"/>
  <c r="C357" i="2"/>
  <c r="E357" i="2" s="1" a="1"/>
  <c r="E357" i="2" s="1"/>
  <c r="F357" i="2" s="1"/>
  <c r="D357" i="2"/>
  <c r="C358" i="2"/>
  <c r="D358" i="2"/>
  <c r="C359" i="2"/>
  <c r="D359" i="2"/>
  <c r="C360" i="2"/>
  <c r="D360" i="2"/>
  <c r="C361" i="2"/>
  <c r="D361" i="2"/>
  <c r="C362" i="2"/>
  <c r="D362" i="2"/>
  <c r="C363" i="2"/>
  <c r="E363" i="2" s="1" a="1"/>
  <c r="E363" i="2" s="1"/>
  <c r="F363" i="2" s="1"/>
  <c r="D363" i="2"/>
  <c r="C364" i="2"/>
  <c r="D364" i="2"/>
  <c r="C365" i="2"/>
  <c r="E365" i="2" s="1" a="1"/>
  <c r="E365" i="2" s="1"/>
  <c r="F365" i="2" s="1"/>
  <c r="D365" i="2"/>
  <c r="C366" i="2"/>
  <c r="E366" i="2" s="1" a="1"/>
  <c r="E366" i="2" s="1"/>
  <c r="F366" i="2" s="1"/>
  <c r="D366" i="2"/>
  <c r="C367" i="2"/>
  <c r="D367" i="2"/>
  <c r="C368" i="2"/>
  <c r="D368" i="2"/>
  <c r="C369" i="2"/>
  <c r="E369" i="2" s="1" a="1"/>
  <c r="E369" i="2" s="1"/>
  <c r="F369" i="2" s="1"/>
  <c r="D369" i="2"/>
  <c r="C370" i="2"/>
  <c r="D370" i="2"/>
  <c r="C371" i="2"/>
  <c r="D371" i="2"/>
  <c r="C372" i="2"/>
  <c r="D372" i="2"/>
  <c r="C373" i="2"/>
  <c r="E373" i="2" s="1" a="1"/>
  <c r="E373" i="2" s="1"/>
  <c r="F373" i="2" s="1"/>
  <c r="D373" i="2"/>
  <c r="C374" i="2"/>
  <c r="D374" i="2"/>
  <c r="C375" i="2"/>
  <c r="E375" i="2" s="1" a="1"/>
  <c r="E375" i="2" s="1"/>
  <c r="F375" i="2" s="1"/>
  <c r="D375" i="2"/>
  <c r="C376" i="2"/>
  <c r="E376" i="2" s="1" a="1"/>
  <c r="E376" i="2" s="1"/>
  <c r="F376" i="2" s="1"/>
  <c r="D376" i="2"/>
  <c r="C377" i="2"/>
  <c r="E377" i="2" s="1" a="1"/>
  <c r="E377" i="2" s="1"/>
  <c r="F377" i="2" s="1"/>
  <c r="D377" i="2"/>
  <c r="C378" i="2"/>
  <c r="E378" i="2" s="1" a="1"/>
  <c r="E378" i="2" s="1"/>
  <c r="F378" i="2" s="1"/>
  <c r="D378" i="2"/>
  <c r="C379" i="2"/>
  <c r="E379" i="2" s="1" a="1"/>
  <c r="E379" i="2" s="1"/>
  <c r="F379" i="2" s="1"/>
  <c r="D379" i="2"/>
  <c r="C380" i="2"/>
  <c r="E380" i="2" s="1" a="1"/>
  <c r="E380" i="2" s="1"/>
  <c r="F380" i="2" s="1"/>
  <c r="D380" i="2"/>
  <c r="C381" i="2"/>
  <c r="E381" i="2" s="1" a="1"/>
  <c r="E381" i="2" s="1"/>
  <c r="F381" i="2" s="1"/>
  <c r="D381" i="2"/>
  <c r="C382" i="2"/>
  <c r="D382" i="2"/>
  <c r="C383" i="2"/>
  <c r="E383" i="2" s="1" a="1"/>
  <c r="E383" i="2" s="1"/>
  <c r="F383" i="2" s="1"/>
  <c r="D383" i="2"/>
  <c r="C384" i="2"/>
  <c r="D384" i="2"/>
  <c r="C385" i="2"/>
  <c r="E385" i="2" s="1" a="1"/>
  <c r="E385" i="2" s="1"/>
  <c r="F385" i="2" s="1"/>
  <c r="D385" i="2"/>
  <c r="C386" i="2"/>
  <c r="D386" i="2"/>
  <c r="C387" i="2"/>
  <c r="E387" i="2" s="1" a="1"/>
  <c r="E387" i="2" s="1"/>
  <c r="F387" i="2" s="1"/>
  <c r="D387" i="2"/>
  <c r="C388" i="2"/>
  <c r="D388" i="2"/>
  <c r="C389" i="2"/>
  <c r="E389" i="2" s="1" a="1"/>
  <c r="E389" i="2" s="1"/>
  <c r="F389" i="2" s="1"/>
  <c r="D389" i="2"/>
  <c r="C390" i="2"/>
  <c r="E390" i="2" s="1" a="1"/>
  <c r="E390" i="2" s="1"/>
  <c r="F390" i="2" s="1"/>
  <c r="D390" i="2"/>
  <c r="C391" i="2"/>
  <c r="E391" i="2" s="1" a="1"/>
  <c r="E391" i="2" s="1"/>
  <c r="F391" i="2" s="1"/>
  <c r="D391" i="2"/>
  <c r="C392" i="2"/>
  <c r="E392" i="2" s="1" a="1"/>
  <c r="E392" i="2" s="1"/>
  <c r="F392" i="2" s="1"/>
  <c r="D392" i="2"/>
  <c r="C393" i="2"/>
  <c r="E393" i="2" s="1" a="1"/>
  <c r="E393" i="2" s="1"/>
  <c r="F393" i="2" s="1"/>
  <c r="D393" i="2"/>
  <c r="C394" i="2"/>
  <c r="E394" i="2" s="1" a="1"/>
  <c r="E394" i="2" s="1"/>
  <c r="F394" i="2" s="1"/>
  <c r="D394" i="2"/>
  <c r="C395" i="2"/>
  <c r="E395" i="2" s="1" a="1"/>
  <c r="E395" i="2" s="1"/>
  <c r="F395" i="2" s="1"/>
  <c r="D395" i="2"/>
  <c r="C396" i="2"/>
  <c r="D396" i="2"/>
  <c r="C397" i="2"/>
  <c r="E397" i="2" s="1" a="1"/>
  <c r="E397" i="2" s="1"/>
  <c r="F397" i="2" s="1"/>
  <c r="D397" i="2"/>
  <c r="C398" i="2"/>
  <c r="D398" i="2"/>
  <c r="C399" i="2"/>
  <c r="E399" i="2" s="1" a="1"/>
  <c r="E399" i="2" s="1"/>
  <c r="F399" i="2" s="1"/>
  <c r="D399" i="2"/>
  <c r="C400" i="2"/>
  <c r="D400" i="2"/>
  <c r="C401" i="2"/>
  <c r="E401" i="2" s="1" a="1"/>
  <c r="E401" i="2" s="1"/>
  <c r="F401" i="2" s="1"/>
  <c r="D401" i="2"/>
  <c r="C402" i="2"/>
  <c r="D402" i="2"/>
  <c r="C403" i="2"/>
  <c r="E403" i="2" s="1" a="1"/>
  <c r="E403" i="2" s="1"/>
  <c r="F403" i="2" s="1"/>
  <c r="D403" i="2"/>
  <c r="C404" i="2"/>
  <c r="E404" i="2" s="1" a="1"/>
  <c r="E404" i="2" s="1"/>
  <c r="F404" i="2" s="1"/>
  <c r="D404" i="2"/>
  <c r="C405" i="2"/>
  <c r="E405" i="2" s="1" a="1"/>
  <c r="E405" i="2" s="1"/>
  <c r="F405" i="2" s="1"/>
  <c r="D405" i="2"/>
  <c r="C406" i="2"/>
  <c r="E406" i="2" s="1" a="1"/>
  <c r="E406" i="2" s="1"/>
  <c r="F406" i="2" s="1"/>
  <c r="D406" i="2"/>
  <c r="C407" i="2"/>
  <c r="E407" i="2" s="1" a="1"/>
  <c r="E407" i="2" s="1"/>
  <c r="F407" i="2" s="1"/>
  <c r="D407" i="2"/>
  <c r="C408" i="2"/>
  <c r="E408" i="2" s="1" a="1"/>
  <c r="E408" i="2" s="1"/>
  <c r="F408" i="2" s="1"/>
  <c r="D408" i="2"/>
  <c r="C409" i="2"/>
  <c r="E409" i="2" s="1" a="1"/>
  <c r="E409" i="2" s="1"/>
  <c r="F409" i="2" s="1"/>
  <c r="D409" i="2"/>
  <c r="C410" i="2"/>
  <c r="D410" i="2"/>
  <c r="C411" i="2"/>
  <c r="E411" i="2" s="1" a="1"/>
  <c r="E411" i="2" s="1"/>
  <c r="F411" i="2" s="1"/>
  <c r="D411" i="2"/>
  <c r="C412" i="2"/>
  <c r="D412" i="2"/>
  <c r="C413" i="2"/>
  <c r="E413" i="2" s="1" a="1"/>
  <c r="E413" i="2" s="1"/>
  <c r="F413" i="2" s="1"/>
  <c r="D413" i="2"/>
  <c r="C414" i="2"/>
  <c r="E414" i="2" s="1" a="1"/>
  <c r="E414" i="2" s="1"/>
  <c r="F414" i="2" s="1"/>
  <c r="D414" i="2"/>
  <c r="C415" i="2"/>
  <c r="E415" i="2" s="1" a="1"/>
  <c r="E415" i="2" s="1"/>
  <c r="F415" i="2" s="1"/>
  <c r="D415" i="2"/>
  <c r="C416" i="2"/>
  <c r="D416" i="2"/>
  <c r="C417" i="2"/>
  <c r="E417" i="2" s="1" a="1"/>
  <c r="E417" i="2" s="1"/>
  <c r="F417" i="2" s="1"/>
  <c r="D417" i="2"/>
  <c r="C418" i="2"/>
  <c r="E418" i="2" s="1" a="1"/>
  <c r="E418" i="2" s="1"/>
  <c r="F418" i="2" s="1"/>
  <c r="D418" i="2"/>
  <c r="C419" i="2"/>
  <c r="E419" i="2" s="1" a="1"/>
  <c r="E419" i="2" s="1"/>
  <c r="F419" i="2" s="1"/>
  <c r="D419" i="2"/>
  <c r="C420" i="2"/>
  <c r="E420" i="2" s="1" a="1"/>
  <c r="E420" i="2" s="1"/>
  <c r="F420" i="2" s="1"/>
  <c r="D420" i="2"/>
  <c r="C421" i="2"/>
  <c r="E421" i="2" s="1" a="1"/>
  <c r="E421" i="2" s="1"/>
  <c r="F421" i="2" s="1"/>
  <c r="D421" i="2"/>
  <c r="C422" i="2"/>
  <c r="E422" i="2" s="1" a="1"/>
  <c r="E422" i="2" s="1"/>
  <c r="F422" i="2" s="1"/>
  <c r="D422" i="2"/>
  <c r="C423" i="2"/>
  <c r="E423" i="2" s="1" a="1"/>
  <c r="E423" i="2" s="1"/>
  <c r="F423" i="2" s="1"/>
  <c r="D423" i="2"/>
  <c r="C424" i="2"/>
  <c r="D424" i="2"/>
  <c r="C425" i="2"/>
  <c r="E425" i="2" s="1" a="1"/>
  <c r="E425" i="2" s="1"/>
  <c r="F425" i="2" s="1"/>
  <c r="D425" i="2"/>
  <c r="C426" i="2"/>
  <c r="D426" i="2"/>
  <c r="C427" i="2"/>
  <c r="E427" i="2" s="1" a="1"/>
  <c r="E427" i="2" s="1"/>
  <c r="F427" i="2" s="1"/>
  <c r="D427" i="2"/>
  <c r="C428" i="2"/>
  <c r="D428" i="2"/>
  <c r="C429" i="2"/>
  <c r="E429" i="2" s="1" a="1"/>
  <c r="E429" i="2" s="1"/>
  <c r="F429" i="2" s="1"/>
  <c r="D429" i="2"/>
  <c r="C430" i="2"/>
  <c r="E430" i="2" s="1" a="1"/>
  <c r="E430" i="2" s="1"/>
  <c r="F430" i="2" s="1"/>
  <c r="D430" i="2"/>
  <c r="C431" i="2"/>
  <c r="E431" i="2" s="1" a="1"/>
  <c r="E431" i="2" s="1"/>
  <c r="F431" i="2" s="1"/>
  <c r="D431" i="2"/>
  <c r="C432" i="2"/>
  <c r="E432" i="2" s="1" a="1"/>
  <c r="E432" i="2" s="1"/>
  <c r="F432" i="2" s="1"/>
  <c r="D432" i="2"/>
  <c r="C433" i="2"/>
  <c r="E433" i="2" s="1" a="1"/>
  <c r="E433" i="2" s="1"/>
  <c r="F433" i="2" s="1"/>
  <c r="D433" i="2"/>
  <c r="C434" i="2"/>
  <c r="E434" i="2" s="1" a="1"/>
  <c r="E434" i="2" s="1"/>
  <c r="F434" i="2" s="1"/>
  <c r="D434" i="2"/>
  <c r="C435" i="2"/>
  <c r="E435" i="2" s="1" a="1"/>
  <c r="E435" i="2" s="1"/>
  <c r="F435" i="2" s="1"/>
  <c r="D435" i="2"/>
  <c r="C436" i="2"/>
  <c r="E436" i="2" s="1" a="1"/>
  <c r="E436" i="2" s="1"/>
  <c r="F436" i="2" s="1"/>
  <c r="D436" i="2"/>
  <c r="C437" i="2"/>
  <c r="E437" i="2" s="1" a="1"/>
  <c r="E437" i="2" s="1"/>
  <c r="F437" i="2" s="1"/>
  <c r="D437" i="2"/>
  <c r="C438" i="2"/>
  <c r="E438" i="2" s="1" a="1"/>
  <c r="E438" i="2" s="1"/>
  <c r="F438" i="2" s="1"/>
  <c r="D438" i="2"/>
  <c r="C439" i="2"/>
  <c r="E439" i="2" s="1" a="1"/>
  <c r="E439" i="2" s="1"/>
  <c r="F439" i="2" s="1"/>
  <c r="D439" i="2"/>
  <c r="C440" i="2"/>
  <c r="E440" i="2" s="1" a="1"/>
  <c r="E440" i="2" s="1"/>
  <c r="F440" i="2" s="1"/>
  <c r="D440" i="2"/>
  <c r="C441" i="2"/>
  <c r="E441" i="2" s="1" a="1"/>
  <c r="E441" i="2" s="1"/>
  <c r="F441" i="2" s="1"/>
  <c r="D441" i="2"/>
  <c r="C442" i="2"/>
  <c r="E442" i="2" s="1" a="1"/>
  <c r="E442" i="2" s="1"/>
  <c r="F442" i="2" s="1"/>
  <c r="D442" i="2"/>
  <c r="C443" i="2"/>
  <c r="E443" i="2" s="1" a="1"/>
  <c r="E443" i="2" s="1"/>
  <c r="F443" i="2" s="1"/>
  <c r="D443" i="2"/>
  <c r="C444" i="2"/>
  <c r="E444" i="2" s="1" a="1"/>
  <c r="E444" i="2" s="1"/>
  <c r="F444" i="2" s="1"/>
  <c r="D444" i="2"/>
  <c r="C445" i="2"/>
  <c r="E445" i="2" s="1" a="1"/>
  <c r="E445" i="2" s="1"/>
  <c r="F445" i="2" s="1"/>
  <c r="D445" i="2"/>
  <c r="C446" i="2"/>
  <c r="E446" i="2" s="1" a="1"/>
  <c r="E446" i="2" s="1"/>
  <c r="F446" i="2" s="1"/>
  <c r="D446" i="2"/>
  <c r="C447" i="2"/>
  <c r="E447" i="2" s="1" a="1"/>
  <c r="E447" i="2" s="1"/>
  <c r="F447" i="2" s="1"/>
  <c r="D447" i="2"/>
  <c r="C448" i="2"/>
  <c r="E448" i="2" s="1" a="1"/>
  <c r="E448" i="2" s="1"/>
  <c r="F448" i="2" s="1"/>
  <c r="D448" i="2"/>
  <c r="C449" i="2"/>
  <c r="E449" i="2" s="1" a="1"/>
  <c r="E449" i="2" s="1"/>
  <c r="F449" i="2" s="1"/>
  <c r="D449" i="2"/>
  <c r="C450" i="2"/>
  <c r="E450" i="2" s="1" a="1"/>
  <c r="E450" i="2" s="1"/>
  <c r="F450" i="2" s="1"/>
  <c r="D450" i="2"/>
  <c r="C451" i="2"/>
  <c r="E451" i="2" s="1" a="1"/>
  <c r="E451" i="2" s="1"/>
  <c r="F451" i="2" s="1"/>
  <c r="D451" i="2"/>
  <c r="C452" i="2"/>
  <c r="E452" i="2" s="1" a="1"/>
  <c r="E452" i="2" s="1"/>
  <c r="F452" i="2" s="1"/>
  <c r="D452" i="2"/>
  <c r="C453" i="2"/>
  <c r="E453" i="2" s="1" a="1"/>
  <c r="E453" i="2" s="1"/>
  <c r="F453" i="2" s="1"/>
  <c r="D453" i="2"/>
  <c r="C454" i="2"/>
  <c r="E454" i="2" s="1" a="1"/>
  <c r="E454" i="2" s="1"/>
  <c r="F454" i="2" s="1"/>
  <c r="D454" i="2"/>
  <c r="C455" i="2"/>
  <c r="E455" i="2" s="1" a="1"/>
  <c r="E455" i="2" s="1"/>
  <c r="F455" i="2" s="1"/>
  <c r="D455" i="2"/>
  <c r="C456" i="2"/>
  <c r="E456" i="2" s="1" a="1"/>
  <c r="E456" i="2" s="1"/>
  <c r="F456" i="2" s="1"/>
  <c r="D456" i="2"/>
  <c r="C457" i="2"/>
  <c r="E457" i="2" s="1" a="1"/>
  <c r="E457" i="2" s="1"/>
  <c r="F457" i="2" s="1"/>
  <c r="D457" i="2"/>
  <c r="C458" i="2"/>
  <c r="D458" i="2"/>
  <c r="C459" i="2"/>
  <c r="E459" i="2" s="1" a="1"/>
  <c r="E459" i="2" s="1"/>
  <c r="F459" i="2" s="1"/>
  <c r="D459" i="2"/>
  <c r="C460" i="2"/>
  <c r="E460" i="2" s="1" a="1"/>
  <c r="E460" i="2" s="1"/>
  <c r="F460" i="2" s="1"/>
  <c r="D460" i="2"/>
  <c r="C461" i="2"/>
  <c r="E461" i="2" s="1" a="1"/>
  <c r="E461" i="2" s="1"/>
  <c r="F461" i="2" s="1"/>
  <c r="D461" i="2"/>
  <c r="C462" i="2"/>
  <c r="E462" i="2" s="1" a="1"/>
  <c r="E462" i="2" s="1"/>
  <c r="F462" i="2" s="1"/>
  <c r="D462" i="2"/>
  <c r="C463" i="2"/>
  <c r="E463" i="2" s="1" a="1"/>
  <c r="E463" i="2" s="1"/>
  <c r="F463" i="2" s="1"/>
  <c r="D463" i="2"/>
  <c r="C464" i="2"/>
  <c r="E464" i="2" s="1" a="1"/>
  <c r="E464" i="2" s="1"/>
  <c r="F464" i="2" s="1"/>
  <c r="D464" i="2"/>
  <c r="C465" i="2"/>
  <c r="E465" i="2" s="1" a="1"/>
  <c r="E465" i="2" s="1"/>
  <c r="F465" i="2" s="1"/>
  <c r="D465" i="2"/>
  <c r="C466" i="2"/>
  <c r="D466" i="2"/>
  <c r="C467" i="2"/>
  <c r="E467" i="2" s="1" a="1"/>
  <c r="E467" i="2" s="1"/>
  <c r="F467" i="2" s="1"/>
  <c r="D467" i="2"/>
  <c r="C468" i="2"/>
  <c r="E468" i="2" s="1" a="1"/>
  <c r="E468" i="2" s="1"/>
  <c r="F468" i="2" s="1"/>
  <c r="D468" i="2"/>
  <c r="C469" i="2"/>
  <c r="E469" i="2" s="1" a="1"/>
  <c r="E469" i="2" s="1"/>
  <c r="F469" i="2" s="1"/>
  <c r="D469" i="2"/>
  <c r="C470" i="2"/>
  <c r="E470" i="2" s="1" a="1"/>
  <c r="E470" i="2" s="1"/>
  <c r="F470" i="2" s="1"/>
  <c r="D470" i="2"/>
  <c r="C471" i="2"/>
  <c r="E471" i="2" s="1" a="1"/>
  <c r="E471" i="2" s="1"/>
  <c r="F471" i="2" s="1"/>
  <c r="D471" i="2"/>
  <c r="C472" i="2"/>
  <c r="E472" i="2" s="1" a="1"/>
  <c r="E472" i="2" s="1"/>
  <c r="F472" i="2" s="1"/>
  <c r="D472" i="2"/>
  <c r="C473" i="2"/>
  <c r="E473" i="2" s="1" a="1"/>
  <c r="E473" i="2" s="1"/>
  <c r="F473" i="2" s="1"/>
  <c r="D473" i="2"/>
  <c r="C474" i="2"/>
  <c r="E474" i="2" s="1" a="1"/>
  <c r="E474" i="2" s="1"/>
  <c r="F474" i="2" s="1"/>
  <c r="D474" i="2"/>
  <c r="C475" i="2"/>
  <c r="E475" i="2" s="1" a="1"/>
  <c r="E475" i="2" s="1"/>
  <c r="F475" i="2" s="1"/>
  <c r="D475" i="2"/>
  <c r="C476" i="2"/>
  <c r="E476" i="2" s="1" a="1"/>
  <c r="E476" i="2" s="1"/>
  <c r="F476" i="2" s="1"/>
  <c r="D476" i="2"/>
  <c r="C477" i="2"/>
  <c r="E477" i="2" s="1" a="1"/>
  <c r="E477" i="2" s="1"/>
  <c r="F477" i="2" s="1"/>
  <c r="D477" i="2"/>
  <c r="C478" i="2"/>
  <c r="E478" i="2" s="1" a="1"/>
  <c r="E478" i="2" s="1"/>
  <c r="F478" i="2" s="1"/>
  <c r="D478" i="2"/>
  <c r="C479" i="2"/>
  <c r="E479" i="2" s="1" a="1"/>
  <c r="E479" i="2" s="1"/>
  <c r="F479" i="2" s="1"/>
  <c r="D479" i="2"/>
  <c r="C480" i="2"/>
  <c r="E480" i="2" s="1" a="1"/>
  <c r="E480" i="2" s="1"/>
  <c r="F480" i="2" s="1"/>
  <c r="D480" i="2"/>
  <c r="C481" i="2"/>
  <c r="E481" i="2" s="1" a="1"/>
  <c r="E481" i="2" s="1"/>
  <c r="F481" i="2" s="1"/>
  <c r="D481" i="2"/>
  <c r="C482" i="2"/>
  <c r="E482" i="2" s="1" a="1"/>
  <c r="E482" i="2" s="1"/>
  <c r="F482" i="2" s="1"/>
  <c r="D482" i="2"/>
  <c r="C483" i="2"/>
  <c r="E483" i="2" s="1" a="1"/>
  <c r="E483" i="2" s="1"/>
  <c r="F483" i="2" s="1"/>
  <c r="D483" i="2"/>
  <c r="C484" i="2"/>
  <c r="E484" i="2" s="1" a="1"/>
  <c r="E484" i="2" s="1"/>
  <c r="F484" i="2" s="1"/>
  <c r="D484" i="2"/>
  <c r="C485" i="2"/>
  <c r="E485" i="2" s="1" a="1"/>
  <c r="E485" i="2" s="1"/>
  <c r="F485" i="2" s="1"/>
  <c r="D485" i="2"/>
  <c r="C486" i="2"/>
  <c r="E486" i="2" s="1" a="1"/>
  <c r="E486" i="2" s="1"/>
  <c r="F486" i="2" s="1"/>
  <c r="D486" i="2"/>
  <c r="C487" i="2"/>
  <c r="E487" i="2" s="1" a="1"/>
  <c r="E487" i="2" s="1"/>
  <c r="F487" i="2" s="1"/>
  <c r="D487" i="2"/>
  <c r="C488" i="2"/>
  <c r="E488" i="2" s="1" a="1"/>
  <c r="E488" i="2" s="1"/>
  <c r="F488" i="2" s="1"/>
  <c r="D488" i="2"/>
  <c r="C489" i="2"/>
  <c r="E489" i="2" s="1" a="1"/>
  <c r="E489" i="2" s="1"/>
  <c r="F489" i="2" s="1"/>
  <c r="D489" i="2"/>
  <c r="C490" i="2"/>
  <c r="E490" i="2" s="1" a="1"/>
  <c r="E490" i="2" s="1"/>
  <c r="F490" i="2" s="1"/>
  <c r="D490" i="2"/>
  <c r="C491" i="2"/>
  <c r="E491" i="2" s="1" a="1"/>
  <c r="E491" i="2" s="1"/>
  <c r="F491" i="2" s="1"/>
  <c r="D491" i="2"/>
  <c r="C492" i="2"/>
  <c r="E492" i="2" s="1" a="1"/>
  <c r="E492" i="2" s="1"/>
  <c r="F492" i="2" s="1"/>
  <c r="D492" i="2"/>
  <c r="C493" i="2"/>
  <c r="E493" i="2" s="1" a="1"/>
  <c r="E493" i="2" s="1"/>
  <c r="F493" i="2" s="1"/>
  <c r="D493" i="2"/>
  <c r="C494" i="2"/>
  <c r="E494" i="2" s="1" a="1"/>
  <c r="E494" i="2" s="1"/>
  <c r="F494" i="2" s="1"/>
  <c r="D494" i="2"/>
  <c r="C495" i="2"/>
  <c r="E495" i="2" s="1" a="1"/>
  <c r="E495" i="2" s="1"/>
  <c r="F495" i="2" s="1"/>
  <c r="D495" i="2"/>
  <c r="C496" i="2"/>
  <c r="E496" i="2" s="1" a="1"/>
  <c r="E496" i="2" s="1"/>
  <c r="F496" i="2" s="1"/>
  <c r="D496" i="2"/>
  <c r="C497" i="2"/>
  <c r="E497" i="2" s="1" a="1"/>
  <c r="E497" i="2" s="1"/>
  <c r="F497" i="2" s="1"/>
  <c r="D497" i="2"/>
  <c r="C498" i="2"/>
  <c r="E498" i="2" s="1" a="1"/>
  <c r="E498" i="2" s="1"/>
  <c r="F498" i="2" s="1"/>
  <c r="D498" i="2"/>
  <c r="C499" i="2"/>
  <c r="E499" i="2" s="1" a="1"/>
  <c r="E499" i="2" s="1"/>
  <c r="F499" i="2" s="1"/>
  <c r="D499" i="2"/>
  <c r="C500" i="2"/>
  <c r="E500" i="2" s="1" a="1"/>
  <c r="E500" i="2" s="1"/>
  <c r="F500" i="2" s="1"/>
  <c r="D500" i="2"/>
  <c r="C501" i="2"/>
  <c r="E501" i="2" s="1" a="1"/>
  <c r="E501" i="2" s="1"/>
  <c r="F501" i="2" s="1"/>
  <c r="D501" i="2"/>
  <c r="C502" i="2"/>
  <c r="E502" i="2" s="1" a="1"/>
  <c r="E502" i="2" s="1"/>
  <c r="F502" i="2" s="1"/>
  <c r="D502" i="2"/>
  <c r="C503" i="2"/>
  <c r="E503" i="2" s="1" a="1"/>
  <c r="E503" i="2" s="1"/>
  <c r="F503" i="2" s="1"/>
  <c r="D503" i="2"/>
  <c r="C504" i="2"/>
  <c r="E504" i="2" s="1" a="1"/>
  <c r="E504" i="2" s="1"/>
  <c r="F504" i="2" s="1"/>
  <c r="D504" i="2"/>
  <c r="C505" i="2"/>
  <c r="E505" i="2" s="1" a="1"/>
  <c r="E505" i="2" s="1"/>
  <c r="F505" i="2" s="1"/>
  <c r="D505" i="2"/>
  <c r="C506" i="2"/>
  <c r="E506" i="2" s="1" a="1"/>
  <c r="E506" i="2" s="1"/>
  <c r="F506" i="2" s="1"/>
  <c r="D506" i="2"/>
  <c r="C507" i="2"/>
  <c r="E507" i="2" s="1" a="1"/>
  <c r="E507" i="2" s="1"/>
  <c r="F507" i="2" s="1"/>
  <c r="D507" i="2"/>
  <c r="C508" i="2"/>
  <c r="E508" i="2" s="1" a="1"/>
  <c r="E508" i="2" s="1"/>
  <c r="F508" i="2" s="1"/>
  <c r="D508" i="2"/>
  <c r="C509" i="2"/>
  <c r="E509" i="2" s="1" a="1"/>
  <c r="E509" i="2" s="1"/>
  <c r="F509" i="2" s="1"/>
  <c r="D509" i="2"/>
  <c r="C510" i="2"/>
  <c r="E510" i="2" s="1" a="1"/>
  <c r="E510" i="2" s="1"/>
  <c r="F510" i="2" s="1"/>
  <c r="D510" i="2"/>
  <c r="C511" i="2"/>
  <c r="E511" i="2" s="1" a="1"/>
  <c r="E511" i="2" s="1"/>
  <c r="F511" i="2" s="1"/>
  <c r="D511" i="2"/>
  <c r="C512" i="2"/>
  <c r="E512" i="2" s="1" a="1"/>
  <c r="E512" i="2" s="1"/>
  <c r="F512" i="2" s="1"/>
  <c r="D512" i="2"/>
  <c r="C513" i="2"/>
  <c r="E513" i="2" s="1" a="1"/>
  <c r="E513" i="2" s="1"/>
  <c r="F513" i="2" s="1"/>
  <c r="D513" i="2"/>
  <c r="C514" i="2"/>
  <c r="E514" i="2" s="1" a="1"/>
  <c r="E514" i="2" s="1"/>
  <c r="F514" i="2" s="1"/>
  <c r="D514" i="2"/>
  <c r="C515" i="2"/>
  <c r="E515" i="2" s="1" a="1"/>
  <c r="E515" i="2" s="1"/>
  <c r="F515" i="2" s="1"/>
  <c r="D515" i="2"/>
  <c r="C516" i="2"/>
  <c r="E516" i="2" s="1" a="1"/>
  <c r="E516" i="2" s="1"/>
  <c r="F516" i="2" s="1"/>
  <c r="D516" i="2"/>
  <c r="C517" i="2"/>
  <c r="E517" i="2" s="1" a="1"/>
  <c r="E517" i="2" s="1"/>
  <c r="F517" i="2" s="1"/>
  <c r="D517" i="2"/>
  <c r="C518" i="2"/>
  <c r="E518" i="2" s="1" a="1"/>
  <c r="E518" i="2" s="1"/>
  <c r="F518" i="2" s="1"/>
  <c r="D518" i="2"/>
  <c r="C519" i="2"/>
  <c r="E519" i="2" s="1" a="1"/>
  <c r="E519" i="2" s="1"/>
  <c r="F519" i="2" s="1"/>
  <c r="D519" i="2"/>
  <c r="C520" i="2"/>
  <c r="E520" i="2" s="1" a="1"/>
  <c r="E520" i="2" s="1"/>
  <c r="F520" i="2" s="1"/>
  <c r="D520" i="2"/>
  <c r="C521" i="2"/>
  <c r="E521" i="2" s="1" a="1"/>
  <c r="E521" i="2" s="1"/>
  <c r="F521" i="2" s="1"/>
  <c r="D521" i="2"/>
  <c r="C522" i="2"/>
  <c r="E522" i="2" s="1" a="1"/>
  <c r="E522" i="2" s="1"/>
  <c r="F522" i="2" s="1"/>
  <c r="D522" i="2"/>
  <c r="C523" i="2"/>
  <c r="E523" i="2" s="1" a="1"/>
  <c r="E523" i="2" s="1"/>
  <c r="F523" i="2" s="1"/>
  <c r="D523" i="2"/>
  <c r="C524" i="2"/>
  <c r="E524" i="2" s="1" a="1"/>
  <c r="E524" i="2" s="1"/>
  <c r="F524" i="2" s="1"/>
  <c r="D524" i="2"/>
  <c r="C525" i="2"/>
  <c r="E525" i="2" s="1" a="1"/>
  <c r="E525" i="2" s="1"/>
  <c r="F525" i="2" s="1"/>
  <c r="D525" i="2"/>
  <c r="C526" i="2"/>
  <c r="E526" i="2" s="1" a="1"/>
  <c r="E526" i="2" s="1"/>
  <c r="F526" i="2" s="1"/>
  <c r="D526" i="2"/>
  <c r="C527" i="2"/>
  <c r="E527" i="2" s="1" a="1"/>
  <c r="E527" i="2" s="1"/>
  <c r="F527" i="2" s="1"/>
  <c r="D527" i="2"/>
  <c r="C528" i="2"/>
  <c r="E528" i="2" s="1" a="1"/>
  <c r="E528" i="2" s="1"/>
  <c r="F528" i="2" s="1"/>
  <c r="D528" i="2"/>
  <c r="C529" i="2"/>
  <c r="E529" i="2" s="1" a="1"/>
  <c r="E529" i="2" s="1"/>
  <c r="F529" i="2" s="1"/>
  <c r="D529" i="2"/>
  <c r="C530" i="2"/>
  <c r="E530" i="2" s="1" a="1"/>
  <c r="E530" i="2" s="1"/>
  <c r="F530" i="2" s="1"/>
  <c r="D530" i="2"/>
  <c r="C531" i="2"/>
  <c r="E531" i="2" s="1" a="1"/>
  <c r="E531" i="2" s="1"/>
  <c r="F531" i="2" s="1"/>
  <c r="D531" i="2"/>
  <c r="C532" i="2"/>
  <c r="E532" i="2" s="1" a="1"/>
  <c r="E532" i="2" s="1"/>
  <c r="F532" i="2" s="1"/>
  <c r="D532" i="2"/>
  <c r="C533" i="2"/>
  <c r="E533" i="2" s="1" a="1"/>
  <c r="E533" i="2" s="1"/>
  <c r="F533" i="2" s="1"/>
  <c r="D533" i="2"/>
  <c r="C534" i="2"/>
  <c r="E534" i="2" s="1" a="1"/>
  <c r="E534" i="2" s="1"/>
  <c r="F534" i="2" s="1"/>
  <c r="D534" i="2"/>
  <c r="C535" i="2"/>
  <c r="E535" i="2" s="1" a="1"/>
  <c r="E535" i="2" s="1"/>
  <c r="F535" i="2" s="1"/>
  <c r="D535" i="2"/>
  <c r="C536" i="2"/>
  <c r="E536" i="2" s="1" a="1"/>
  <c r="E536" i="2" s="1"/>
  <c r="F536" i="2" s="1"/>
  <c r="D536" i="2"/>
  <c r="C537" i="2"/>
  <c r="E537" i="2" s="1" a="1"/>
  <c r="E537" i="2" s="1"/>
  <c r="F537" i="2" s="1"/>
  <c r="D537" i="2"/>
  <c r="C538" i="2"/>
  <c r="E538" i="2" s="1" a="1"/>
  <c r="E538" i="2" s="1"/>
  <c r="F538" i="2" s="1"/>
  <c r="D538" i="2"/>
  <c r="C539" i="2"/>
  <c r="E539" i="2" s="1" a="1"/>
  <c r="E539" i="2" s="1"/>
  <c r="F539" i="2" s="1"/>
  <c r="D539" i="2"/>
  <c r="C540" i="2"/>
  <c r="E540" i="2" s="1" a="1"/>
  <c r="E540" i="2" s="1"/>
  <c r="F540" i="2" s="1"/>
  <c r="D540" i="2"/>
  <c r="C541" i="2"/>
  <c r="E541" i="2" s="1" a="1"/>
  <c r="E541" i="2" s="1"/>
  <c r="F541" i="2" s="1"/>
  <c r="D541" i="2"/>
  <c r="C542" i="2"/>
  <c r="E542" i="2" s="1" a="1"/>
  <c r="E542" i="2" s="1"/>
  <c r="F542" i="2" s="1"/>
  <c r="D542" i="2"/>
  <c r="C543" i="2"/>
  <c r="E543" i="2" s="1" a="1"/>
  <c r="E543" i="2" s="1"/>
  <c r="F543" i="2" s="1"/>
  <c r="D543" i="2"/>
  <c r="C544" i="2"/>
  <c r="E544" i="2" s="1" a="1"/>
  <c r="E544" i="2" s="1"/>
  <c r="F544" i="2" s="1"/>
  <c r="D544" i="2"/>
  <c r="C545" i="2"/>
  <c r="E545" i="2" s="1" a="1"/>
  <c r="E545" i="2" s="1"/>
  <c r="F545" i="2" s="1"/>
  <c r="D545" i="2"/>
  <c r="C546" i="2"/>
  <c r="E546" i="2" s="1" a="1"/>
  <c r="E546" i="2" s="1"/>
  <c r="F546" i="2" s="1"/>
  <c r="D546" i="2"/>
  <c r="C547" i="2"/>
  <c r="E547" i="2" s="1" a="1"/>
  <c r="E547" i="2" s="1"/>
  <c r="F547" i="2" s="1"/>
  <c r="D547" i="2"/>
  <c r="C548" i="2"/>
  <c r="E548" i="2" s="1" a="1"/>
  <c r="E548" i="2" s="1"/>
  <c r="F548" i="2" s="1"/>
  <c r="D548" i="2"/>
  <c r="C549" i="2"/>
  <c r="E549" i="2" s="1" a="1"/>
  <c r="E549" i="2" s="1"/>
  <c r="F549" i="2" s="1"/>
  <c r="D549" i="2"/>
  <c r="C550" i="2"/>
  <c r="E550" i="2" s="1" a="1"/>
  <c r="E550" i="2" s="1"/>
  <c r="F550" i="2" s="1"/>
  <c r="D550" i="2"/>
  <c r="C551" i="2"/>
  <c r="E551" i="2" s="1" a="1"/>
  <c r="E551" i="2" s="1"/>
  <c r="F551" i="2" s="1"/>
  <c r="D551" i="2"/>
  <c r="C552" i="2"/>
  <c r="E552" i="2" s="1" a="1"/>
  <c r="E552" i="2" s="1"/>
  <c r="F552" i="2" s="1"/>
  <c r="D552" i="2"/>
  <c r="C553" i="2"/>
  <c r="E553" i="2" s="1" a="1"/>
  <c r="E553" i="2" s="1"/>
  <c r="F553" i="2" s="1"/>
  <c r="D553" i="2"/>
  <c r="C554" i="2"/>
  <c r="E554" i="2" s="1" a="1"/>
  <c r="E554" i="2" s="1"/>
  <c r="F554" i="2" s="1"/>
  <c r="D554" i="2"/>
  <c r="C555" i="2"/>
  <c r="E555" i="2" s="1" a="1"/>
  <c r="E555" i="2" s="1"/>
  <c r="F555" i="2" s="1"/>
  <c r="D555" i="2"/>
  <c r="C556" i="2"/>
  <c r="E556" i="2" s="1" a="1"/>
  <c r="E556" i="2" s="1"/>
  <c r="F556" i="2" s="1"/>
  <c r="D556" i="2"/>
  <c r="C557" i="2"/>
  <c r="E557" i="2" s="1" a="1"/>
  <c r="E557" i="2" s="1"/>
  <c r="F557" i="2" s="1"/>
  <c r="D557" i="2"/>
  <c r="C558" i="2"/>
  <c r="E558" i="2" s="1" a="1"/>
  <c r="E558" i="2" s="1"/>
  <c r="F558" i="2" s="1"/>
  <c r="D558" i="2"/>
  <c r="C559" i="2"/>
  <c r="E559" i="2" s="1" a="1"/>
  <c r="E559" i="2" s="1"/>
  <c r="F559" i="2" s="1"/>
  <c r="D559" i="2"/>
  <c r="C560" i="2"/>
  <c r="E560" i="2" s="1" a="1"/>
  <c r="E560" i="2" s="1"/>
  <c r="F560" i="2" s="1"/>
  <c r="D560" i="2"/>
  <c r="C561" i="2"/>
  <c r="E561" i="2" s="1" a="1"/>
  <c r="E561" i="2" s="1"/>
  <c r="F561" i="2" s="1"/>
  <c r="D561" i="2"/>
  <c r="C562" i="2"/>
  <c r="E562" i="2" s="1" a="1"/>
  <c r="E562" i="2" s="1"/>
  <c r="F562" i="2" s="1"/>
  <c r="D562" i="2"/>
  <c r="C563" i="2"/>
  <c r="E563" i="2" s="1" a="1"/>
  <c r="E563" i="2" s="1"/>
  <c r="F563" i="2" s="1"/>
  <c r="D563" i="2"/>
  <c r="C564" i="2"/>
  <c r="E564" i="2" s="1" a="1"/>
  <c r="E564" i="2" s="1"/>
  <c r="F564" i="2" s="1"/>
  <c r="D564" i="2"/>
  <c r="C565" i="2"/>
  <c r="E565" i="2" s="1" a="1"/>
  <c r="E565" i="2" s="1"/>
  <c r="F565" i="2" s="1"/>
  <c r="D565" i="2"/>
  <c r="C566" i="2"/>
  <c r="E566" i="2" s="1" a="1"/>
  <c r="E566" i="2" s="1"/>
  <c r="F566" i="2" s="1"/>
  <c r="D566" i="2"/>
  <c r="C567" i="2"/>
  <c r="E567" i="2" s="1" a="1"/>
  <c r="E567" i="2" s="1"/>
  <c r="F567" i="2" s="1"/>
  <c r="D567" i="2"/>
  <c r="C568" i="2"/>
  <c r="E568" i="2" s="1" a="1"/>
  <c r="E568" i="2" s="1"/>
  <c r="F568" i="2" s="1"/>
  <c r="D568" i="2"/>
  <c r="C569" i="2"/>
  <c r="E569" i="2" s="1" a="1"/>
  <c r="E569" i="2" s="1"/>
  <c r="F569" i="2" s="1"/>
  <c r="D569" i="2"/>
  <c r="C570" i="2"/>
  <c r="E570" i="2" s="1" a="1"/>
  <c r="E570" i="2" s="1"/>
  <c r="F570" i="2" s="1"/>
  <c r="D570" i="2"/>
  <c r="C571" i="2"/>
  <c r="E571" i="2" s="1" a="1"/>
  <c r="E571" i="2" s="1"/>
  <c r="F571" i="2" s="1"/>
  <c r="D571" i="2"/>
  <c r="C572" i="2"/>
  <c r="E572" i="2" s="1" a="1"/>
  <c r="E572" i="2" s="1"/>
  <c r="F572" i="2" s="1"/>
  <c r="D572" i="2"/>
  <c r="C573" i="2"/>
  <c r="E573" i="2" s="1" a="1"/>
  <c r="E573" i="2" s="1"/>
  <c r="F573" i="2" s="1"/>
  <c r="D573" i="2"/>
  <c r="C574" i="2"/>
  <c r="E574" i="2" s="1" a="1"/>
  <c r="E574" i="2" s="1"/>
  <c r="F574" i="2" s="1"/>
  <c r="D574" i="2"/>
  <c r="C575" i="2"/>
  <c r="E575" i="2" s="1" a="1"/>
  <c r="E575" i="2" s="1"/>
  <c r="F575" i="2" s="1"/>
  <c r="D575" i="2"/>
  <c r="C576" i="2"/>
  <c r="E576" i="2" s="1" a="1"/>
  <c r="E576" i="2" s="1"/>
  <c r="F576" i="2" s="1"/>
  <c r="D576" i="2"/>
  <c r="C577" i="2"/>
  <c r="E577" i="2" s="1" a="1"/>
  <c r="E577" i="2" s="1"/>
  <c r="F577" i="2" s="1"/>
  <c r="D577" i="2"/>
  <c r="C578" i="2"/>
  <c r="E578" i="2" s="1" a="1"/>
  <c r="E578" i="2" s="1"/>
  <c r="F578" i="2" s="1"/>
  <c r="D578" i="2"/>
  <c r="C579" i="2"/>
  <c r="E579" i="2" s="1" a="1"/>
  <c r="E579" i="2" s="1"/>
  <c r="F579" i="2" s="1"/>
  <c r="D579" i="2"/>
  <c r="C580" i="2"/>
  <c r="E580" i="2" s="1" a="1"/>
  <c r="E580" i="2" s="1"/>
  <c r="F580" i="2" s="1"/>
  <c r="D580" i="2"/>
  <c r="C581" i="2"/>
  <c r="E581" i="2" s="1" a="1"/>
  <c r="E581" i="2" s="1"/>
  <c r="F581" i="2" s="1"/>
  <c r="D581" i="2"/>
  <c r="C582" i="2"/>
  <c r="E582" i="2" s="1" a="1"/>
  <c r="E582" i="2" s="1"/>
  <c r="F582" i="2" s="1"/>
  <c r="D582" i="2"/>
  <c r="C583" i="2"/>
  <c r="E583" i="2" s="1" a="1"/>
  <c r="E583" i="2" s="1"/>
  <c r="F583" i="2" s="1"/>
  <c r="D583" i="2"/>
  <c r="C584" i="2"/>
  <c r="E584" i="2" s="1" a="1"/>
  <c r="E584" i="2" s="1"/>
  <c r="F584" i="2" s="1"/>
  <c r="D584" i="2"/>
  <c r="C585" i="2"/>
  <c r="E585" i="2" s="1" a="1"/>
  <c r="E585" i="2" s="1"/>
  <c r="F585" i="2" s="1"/>
  <c r="D585" i="2"/>
  <c r="C586" i="2"/>
  <c r="E586" i="2" s="1" a="1"/>
  <c r="E586" i="2" s="1"/>
  <c r="F586" i="2" s="1"/>
  <c r="D586" i="2"/>
  <c r="C587" i="2"/>
  <c r="E587" i="2" s="1" a="1"/>
  <c r="E587" i="2" s="1"/>
  <c r="F587" i="2" s="1"/>
  <c r="D587" i="2"/>
  <c r="C588" i="2"/>
  <c r="E588" i="2" s="1" a="1"/>
  <c r="E588" i="2" s="1"/>
  <c r="F588" i="2" s="1"/>
  <c r="D588" i="2"/>
  <c r="C589" i="2"/>
  <c r="E589" i="2" s="1" a="1"/>
  <c r="E589" i="2" s="1"/>
  <c r="F589" i="2" s="1"/>
  <c r="D589" i="2"/>
  <c r="C590" i="2"/>
  <c r="E590" i="2" s="1" a="1"/>
  <c r="E590" i="2" s="1"/>
  <c r="F590" i="2" s="1"/>
  <c r="D590" i="2"/>
  <c r="C591" i="2"/>
  <c r="E591" i="2" s="1" a="1"/>
  <c r="E591" i="2" s="1"/>
  <c r="F591" i="2" s="1"/>
  <c r="D591" i="2"/>
  <c r="C592" i="2"/>
  <c r="E592" i="2" s="1" a="1"/>
  <c r="E592" i="2" s="1"/>
  <c r="F592" i="2" s="1"/>
  <c r="D592" i="2"/>
  <c r="C593" i="2"/>
  <c r="E593" i="2" s="1" a="1"/>
  <c r="E593" i="2" s="1"/>
  <c r="F593" i="2" s="1"/>
  <c r="D593" i="2"/>
  <c r="C594" i="2"/>
  <c r="E594" i="2" s="1" a="1"/>
  <c r="E594" i="2" s="1"/>
  <c r="F594" i="2" s="1"/>
  <c r="D594" i="2"/>
  <c r="C595" i="2"/>
  <c r="E595" i="2" s="1" a="1"/>
  <c r="E595" i="2" s="1"/>
  <c r="F595" i="2" s="1"/>
  <c r="D595" i="2"/>
  <c r="C596" i="2"/>
  <c r="E596" i="2" s="1" a="1"/>
  <c r="E596" i="2" s="1"/>
  <c r="F596" i="2" s="1"/>
  <c r="D596" i="2"/>
  <c r="C597" i="2"/>
  <c r="E597" i="2" s="1" a="1"/>
  <c r="E597" i="2" s="1"/>
  <c r="F597" i="2" s="1"/>
  <c r="D597" i="2"/>
  <c r="C598" i="2"/>
  <c r="E598" i="2" s="1" a="1"/>
  <c r="E598" i="2" s="1"/>
  <c r="F598" i="2" s="1"/>
  <c r="D598" i="2"/>
  <c r="C599" i="2"/>
  <c r="E599" i="2" s="1" a="1"/>
  <c r="E599" i="2" s="1"/>
  <c r="F599" i="2" s="1"/>
  <c r="D599" i="2"/>
  <c r="C600" i="2"/>
  <c r="E600" i="2" s="1" a="1"/>
  <c r="E600" i="2" s="1"/>
  <c r="F600" i="2" s="1"/>
  <c r="D600" i="2"/>
  <c r="C601" i="2"/>
  <c r="E601" i="2" s="1" a="1"/>
  <c r="E601" i="2" s="1"/>
  <c r="F601" i="2" s="1"/>
  <c r="D601" i="2"/>
  <c r="C602" i="2"/>
  <c r="E602" i="2" s="1" a="1"/>
  <c r="E602" i="2" s="1"/>
  <c r="F602" i="2" s="1"/>
  <c r="D602" i="2"/>
  <c r="C603" i="2"/>
  <c r="E603" i="2" s="1" a="1"/>
  <c r="E603" i="2" s="1"/>
  <c r="F603" i="2" s="1"/>
  <c r="D603" i="2"/>
  <c r="C604" i="2"/>
  <c r="E604" i="2" s="1" a="1"/>
  <c r="E604" i="2" s="1"/>
  <c r="F604" i="2" s="1"/>
  <c r="D604" i="2"/>
  <c r="C605" i="2"/>
  <c r="E605" i="2" s="1" a="1"/>
  <c r="E605" i="2" s="1"/>
  <c r="F605" i="2" s="1"/>
  <c r="D605" i="2"/>
  <c r="C606" i="2"/>
  <c r="E606" i="2" s="1" a="1"/>
  <c r="E606" i="2" s="1"/>
  <c r="F606" i="2" s="1"/>
  <c r="D606" i="2"/>
  <c r="C607" i="2"/>
  <c r="E607" i="2" s="1" a="1"/>
  <c r="E607" i="2" s="1"/>
  <c r="F607" i="2" s="1"/>
  <c r="D607" i="2"/>
  <c r="C608" i="2"/>
  <c r="E608" i="2" s="1" a="1"/>
  <c r="E608" i="2" s="1"/>
  <c r="F608" i="2" s="1"/>
  <c r="D608" i="2"/>
  <c r="C609" i="2"/>
  <c r="E609" i="2" s="1" a="1"/>
  <c r="E609" i="2" s="1"/>
  <c r="F609" i="2" s="1"/>
  <c r="D609" i="2"/>
  <c r="C610" i="2"/>
  <c r="E610" i="2" s="1" a="1"/>
  <c r="E610" i="2" s="1"/>
  <c r="F610" i="2" s="1"/>
  <c r="D610" i="2"/>
  <c r="C611" i="2"/>
  <c r="E611" i="2" s="1" a="1"/>
  <c r="E611" i="2" s="1"/>
  <c r="F611" i="2" s="1"/>
  <c r="D611" i="2"/>
  <c r="C612" i="2"/>
  <c r="E612" i="2" s="1" a="1"/>
  <c r="E612" i="2" s="1"/>
  <c r="F612" i="2" s="1"/>
  <c r="D612" i="2"/>
  <c r="C613" i="2"/>
  <c r="E613" i="2" s="1" a="1"/>
  <c r="E613" i="2" s="1"/>
  <c r="F613" i="2" s="1"/>
  <c r="D613" i="2"/>
  <c r="C614" i="2"/>
  <c r="E614" i="2" s="1" a="1"/>
  <c r="E614" i="2" s="1"/>
  <c r="F614" i="2" s="1"/>
  <c r="D614" i="2"/>
  <c r="C615" i="2"/>
  <c r="E615" i="2" s="1" a="1"/>
  <c r="E615" i="2" s="1"/>
  <c r="F615" i="2" s="1"/>
  <c r="D615" i="2"/>
  <c r="C616" i="2"/>
  <c r="E616" i="2" s="1" a="1"/>
  <c r="E616" i="2" s="1"/>
  <c r="F616" i="2" s="1"/>
  <c r="D616" i="2"/>
  <c r="C617" i="2"/>
  <c r="E617" i="2" s="1" a="1"/>
  <c r="E617" i="2" s="1"/>
  <c r="F617" i="2" s="1"/>
  <c r="D617" i="2"/>
  <c r="C618" i="2"/>
  <c r="E618" i="2" s="1" a="1"/>
  <c r="E618" i="2" s="1"/>
  <c r="F618" i="2" s="1"/>
  <c r="D618" i="2"/>
  <c r="C619" i="2"/>
  <c r="E619" i="2" s="1" a="1"/>
  <c r="E619" i="2" s="1"/>
  <c r="F619" i="2" s="1"/>
  <c r="D619" i="2"/>
  <c r="C620" i="2"/>
  <c r="E620" i="2" s="1" a="1"/>
  <c r="E620" i="2" s="1"/>
  <c r="F620" i="2" s="1"/>
  <c r="D620" i="2"/>
  <c r="C621" i="2"/>
  <c r="E621" i="2" s="1" a="1"/>
  <c r="E621" i="2" s="1"/>
  <c r="F621" i="2" s="1"/>
  <c r="D621" i="2"/>
  <c r="C622" i="2"/>
  <c r="E622" i="2" s="1" a="1"/>
  <c r="E622" i="2" s="1"/>
  <c r="F622" i="2" s="1"/>
  <c r="D622" i="2"/>
  <c r="C623" i="2"/>
  <c r="E623" i="2" s="1" a="1"/>
  <c r="E623" i="2" s="1"/>
  <c r="F623" i="2" s="1"/>
  <c r="D623" i="2"/>
  <c r="C624" i="2"/>
  <c r="E624" i="2" s="1" a="1"/>
  <c r="E624" i="2" s="1"/>
  <c r="F624" i="2" s="1"/>
  <c r="D624" i="2"/>
  <c r="C625" i="2"/>
  <c r="E625" i="2" s="1" a="1"/>
  <c r="E625" i="2" s="1"/>
  <c r="F625" i="2" s="1"/>
  <c r="D625" i="2"/>
  <c r="C626" i="2"/>
  <c r="E626" i="2" s="1" a="1"/>
  <c r="E626" i="2" s="1"/>
  <c r="F626" i="2" s="1"/>
  <c r="D626" i="2"/>
  <c r="C627" i="2"/>
  <c r="E627" i="2" s="1" a="1"/>
  <c r="E627" i="2" s="1"/>
  <c r="F627" i="2" s="1"/>
  <c r="D627" i="2"/>
  <c r="C628" i="2"/>
  <c r="E628" i="2" s="1" a="1"/>
  <c r="E628" i="2" s="1"/>
  <c r="F628" i="2" s="1"/>
  <c r="D628" i="2"/>
  <c r="C629" i="2"/>
  <c r="E629" i="2" s="1" a="1"/>
  <c r="E629" i="2" s="1"/>
  <c r="F629" i="2" s="1"/>
  <c r="D629" i="2"/>
  <c r="C630" i="2"/>
  <c r="E630" i="2" s="1" a="1"/>
  <c r="E630" i="2" s="1"/>
  <c r="F630" i="2" s="1"/>
  <c r="D630" i="2"/>
  <c r="C631" i="2"/>
  <c r="E631" i="2" s="1" a="1"/>
  <c r="E631" i="2" s="1"/>
  <c r="F631" i="2" s="1"/>
  <c r="D631" i="2"/>
  <c r="C632" i="2"/>
  <c r="E632" i="2" s="1" a="1"/>
  <c r="E632" i="2" s="1"/>
  <c r="F632" i="2" s="1"/>
  <c r="D632" i="2"/>
  <c r="C633" i="2"/>
  <c r="E633" i="2" s="1" a="1"/>
  <c r="E633" i="2" s="1"/>
  <c r="F633" i="2" s="1"/>
  <c r="D633" i="2"/>
  <c r="C634" i="2"/>
  <c r="E634" i="2" s="1" a="1"/>
  <c r="E634" i="2" s="1"/>
  <c r="F634" i="2" s="1"/>
  <c r="D634" i="2"/>
  <c r="C635" i="2"/>
  <c r="E635" i="2" s="1" a="1"/>
  <c r="E635" i="2" s="1"/>
  <c r="F635" i="2" s="1"/>
  <c r="D635" i="2"/>
  <c r="C636" i="2"/>
  <c r="E636" i="2" s="1" a="1"/>
  <c r="E636" i="2" s="1"/>
  <c r="F636" i="2" s="1"/>
  <c r="D636" i="2"/>
  <c r="C637" i="2"/>
  <c r="E637" i="2" s="1" a="1"/>
  <c r="E637" i="2" s="1"/>
  <c r="F637" i="2" s="1"/>
  <c r="D637" i="2"/>
  <c r="C638" i="2"/>
  <c r="E638" i="2" s="1" a="1"/>
  <c r="E638" i="2" s="1"/>
  <c r="F638" i="2" s="1"/>
  <c r="D638" i="2"/>
  <c r="C639" i="2"/>
  <c r="E639" i="2" s="1" a="1"/>
  <c r="E639" i="2" s="1"/>
  <c r="F639" i="2" s="1"/>
  <c r="D639" i="2"/>
  <c r="C640" i="2"/>
  <c r="E640" i="2" s="1" a="1"/>
  <c r="E640" i="2" s="1"/>
  <c r="F640" i="2" s="1"/>
  <c r="D640" i="2"/>
  <c r="C641" i="2"/>
  <c r="E641" i="2" s="1" a="1"/>
  <c r="E641" i="2" s="1"/>
  <c r="F641" i="2" s="1"/>
  <c r="D641" i="2"/>
  <c r="C642" i="2"/>
  <c r="E642" i="2" s="1" a="1"/>
  <c r="E642" i="2" s="1"/>
  <c r="F642" i="2" s="1"/>
  <c r="D642" i="2"/>
  <c r="C643" i="2"/>
  <c r="E643" i="2" s="1" a="1"/>
  <c r="E643" i="2" s="1"/>
  <c r="F643" i="2" s="1"/>
  <c r="D643" i="2"/>
  <c r="C644" i="2"/>
  <c r="E644" i="2" s="1" a="1"/>
  <c r="E644" i="2" s="1"/>
  <c r="F644" i="2" s="1"/>
  <c r="D644" i="2"/>
  <c r="C645" i="2"/>
  <c r="E645" i="2" s="1" a="1"/>
  <c r="E645" i="2" s="1"/>
  <c r="F645" i="2" s="1"/>
  <c r="D645" i="2"/>
  <c r="C646" i="2"/>
  <c r="E646" i="2" s="1" a="1"/>
  <c r="E646" i="2" s="1"/>
  <c r="F646" i="2" s="1"/>
  <c r="D646" i="2"/>
  <c r="C647" i="2"/>
  <c r="E647" i="2" s="1" a="1"/>
  <c r="E647" i="2" s="1"/>
  <c r="F647" i="2" s="1"/>
  <c r="D647" i="2"/>
  <c r="C648" i="2"/>
  <c r="E648" i="2" s="1" a="1"/>
  <c r="E648" i="2" s="1"/>
  <c r="F648" i="2" s="1"/>
  <c r="D648" i="2"/>
  <c r="C649" i="2"/>
  <c r="E649" i="2" s="1" a="1"/>
  <c r="E649" i="2" s="1"/>
  <c r="F649" i="2" s="1"/>
  <c r="D649" i="2"/>
  <c r="C650" i="2"/>
  <c r="E650" i="2" s="1" a="1"/>
  <c r="E650" i="2" s="1"/>
  <c r="F650" i="2" s="1"/>
  <c r="D650" i="2"/>
  <c r="C651" i="2"/>
  <c r="E651" i="2" s="1" a="1"/>
  <c r="E651" i="2" s="1"/>
  <c r="F651" i="2" s="1"/>
  <c r="D651" i="2"/>
  <c r="C652" i="2"/>
  <c r="E652" i="2" s="1" a="1"/>
  <c r="E652" i="2" s="1"/>
  <c r="F652" i="2" s="1"/>
  <c r="D652" i="2"/>
  <c r="C653" i="2"/>
  <c r="E653" i="2" s="1" a="1"/>
  <c r="E653" i="2" s="1"/>
  <c r="F653" i="2" s="1"/>
  <c r="D653" i="2"/>
  <c r="C654" i="2"/>
  <c r="E654" i="2" s="1" a="1"/>
  <c r="E654" i="2" s="1"/>
  <c r="F654" i="2" s="1"/>
  <c r="D654" i="2"/>
  <c r="C655" i="2"/>
  <c r="E655" i="2" s="1" a="1"/>
  <c r="E655" i="2" s="1"/>
  <c r="F655" i="2" s="1"/>
  <c r="D655" i="2"/>
  <c r="C656" i="2"/>
  <c r="E656" i="2" s="1" a="1"/>
  <c r="E656" i="2" s="1"/>
  <c r="F656" i="2" s="1"/>
  <c r="D656" i="2"/>
  <c r="C657" i="2"/>
  <c r="E657" i="2" s="1" a="1"/>
  <c r="E657" i="2" s="1"/>
  <c r="F657" i="2" s="1"/>
  <c r="D657" i="2"/>
  <c r="C658" i="2"/>
  <c r="E658" i="2" s="1" a="1"/>
  <c r="E658" i="2" s="1"/>
  <c r="F658" i="2" s="1"/>
  <c r="D658" i="2"/>
  <c r="C659" i="2"/>
  <c r="E659" i="2" s="1" a="1"/>
  <c r="E659" i="2" s="1"/>
  <c r="F659" i="2" s="1"/>
  <c r="D659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E19" i="2" s="1" a="1"/>
  <c r="E19" i="2" s="1"/>
  <c r="F19" i="2" s="1"/>
  <c r="D19" i="2"/>
  <c r="C20" i="2"/>
  <c r="D20" i="2"/>
  <c r="C21" i="2"/>
  <c r="D21" i="2"/>
  <c r="C22" i="2"/>
  <c r="D22" i="2"/>
  <c r="C23" i="2"/>
  <c r="D23" i="2"/>
  <c r="C24" i="2"/>
  <c r="D24" i="2"/>
  <c r="D2" i="2"/>
  <c r="C2" i="2"/>
  <c r="M3" i="1"/>
  <c r="M5" i="1"/>
  <c r="M7" i="1"/>
  <c r="M8" i="1"/>
  <c r="M9" i="1"/>
  <c r="M10" i="1"/>
  <c r="M12" i="1"/>
  <c r="M13" i="1"/>
  <c r="M14" i="1"/>
  <c r="L3" i="1"/>
  <c r="M19" i="1" s="1"/>
  <c r="L4" i="1"/>
  <c r="M27" i="1" s="1"/>
  <c r="L5" i="1"/>
  <c r="M22" i="1" s="1"/>
  <c r="L6" i="1"/>
  <c r="L7" i="1"/>
  <c r="L8" i="1"/>
  <c r="L9" i="1"/>
  <c r="L10" i="1"/>
  <c r="L11" i="1"/>
  <c r="L12" i="1"/>
  <c r="L13" i="1"/>
  <c r="L14" i="1"/>
  <c r="L15" i="1"/>
  <c r="M24" i="1" s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2" i="1"/>
  <c r="M4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2" i="1"/>
  <c r="E402" i="2" l="1" a="1"/>
  <c r="E402" i="2" s="1"/>
  <c r="F402" i="2" s="1"/>
  <c r="E24" i="2" a="1"/>
  <c r="E24" i="2" s="1"/>
  <c r="F24" i="2" s="1"/>
  <c r="E359" i="2" a="1"/>
  <c r="E359" i="2" s="1"/>
  <c r="F359" i="2" s="1"/>
  <c r="E338" i="2" a="1"/>
  <c r="E338" i="2" s="1"/>
  <c r="F338" i="2" s="1"/>
  <c r="E324" i="2" a="1"/>
  <c r="E324" i="2" s="1"/>
  <c r="F324" i="2" s="1"/>
  <c r="E310" i="2" a="1"/>
  <c r="E310" i="2" s="1"/>
  <c r="F310" i="2" s="1"/>
  <c r="E296" i="2" a="1"/>
  <c r="E296" i="2" s="1"/>
  <c r="F296" i="2" s="1"/>
  <c r="E275" i="2" a="1"/>
  <c r="E275" i="2" s="1"/>
  <c r="F275" i="2" s="1"/>
  <c r="E268" i="2" a="1"/>
  <c r="E268" i="2" s="1"/>
  <c r="F268" i="2" s="1"/>
  <c r="E254" i="2" a="1"/>
  <c r="E254" i="2" s="1"/>
  <c r="F254" i="2" s="1"/>
  <c r="E240" i="2" a="1"/>
  <c r="E240" i="2" s="1"/>
  <c r="F240" i="2" s="1"/>
  <c r="E226" i="2" a="1"/>
  <c r="E226" i="2" s="1"/>
  <c r="F226" i="2" s="1"/>
  <c r="E212" i="2" a="1"/>
  <c r="E212" i="2" s="1"/>
  <c r="F212" i="2" s="1"/>
  <c r="E198" i="2" a="1"/>
  <c r="E198" i="2" s="1"/>
  <c r="F198" i="2" s="1"/>
  <c r="E177" i="2" a="1"/>
  <c r="E177" i="2" s="1"/>
  <c r="F177" i="2" s="1"/>
  <c r="E163" i="2" a="1"/>
  <c r="E163" i="2" s="1"/>
  <c r="F163" i="2" s="1"/>
  <c r="E156" i="2" a="1"/>
  <c r="E156" i="2" s="1"/>
  <c r="F156" i="2" s="1"/>
  <c r="E142" i="2" a="1"/>
  <c r="E142" i="2" s="1"/>
  <c r="F142" i="2" s="1"/>
  <c r="E128" i="2" a="1"/>
  <c r="E128" i="2" s="1"/>
  <c r="F128" i="2" s="1"/>
  <c r="E107" i="2" a="1"/>
  <c r="E107" i="2" s="1"/>
  <c r="F107" i="2" s="1"/>
  <c r="E100" i="2" a="1"/>
  <c r="E100" i="2" s="1"/>
  <c r="F100" i="2" s="1"/>
  <c r="E79" i="2" a="1"/>
  <c r="E79" i="2" s="1"/>
  <c r="F79" i="2" s="1"/>
  <c r="E72" i="2" a="1"/>
  <c r="E72" i="2" s="1"/>
  <c r="F72" i="2" s="1"/>
  <c r="E51" i="2" a="1"/>
  <c r="E51" i="2" s="1"/>
  <c r="F51" i="2" s="1"/>
  <c r="E44" i="2" a="1"/>
  <c r="E44" i="2" s="1"/>
  <c r="F44" i="2" s="1"/>
  <c r="E30" i="2" a="1"/>
  <c r="E30" i="2" s="1"/>
  <c r="F30" i="2" s="1"/>
  <c r="E458" i="2" a="1"/>
  <c r="E458" i="2" s="1"/>
  <c r="F458" i="2" s="1"/>
  <c r="E367" i="2" a="1"/>
  <c r="E367" i="2" s="1"/>
  <c r="F367" i="2" s="1"/>
  <c r="E17" i="2" a="1"/>
  <c r="E17" i="2" s="1"/>
  <c r="F17" i="2" s="1"/>
  <c r="E345" i="2" a="1"/>
  <c r="E345" i="2" s="1"/>
  <c r="F345" i="2" s="1"/>
  <c r="E331" i="2" a="1"/>
  <c r="E331" i="2" s="1"/>
  <c r="F331" i="2" s="1"/>
  <c r="E317" i="2" a="1"/>
  <c r="E317" i="2" s="1"/>
  <c r="F317" i="2" s="1"/>
  <c r="E303" i="2" a="1"/>
  <c r="E303" i="2" s="1"/>
  <c r="F303" i="2" s="1"/>
  <c r="E289" i="2" a="1"/>
  <c r="E289" i="2" s="1"/>
  <c r="F289" i="2" s="1"/>
  <c r="E282" i="2" a="1"/>
  <c r="E282" i="2" s="1"/>
  <c r="F282" i="2" s="1"/>
  <c r="E261" i="2" a="1"/>
  <c r="E261" i="2" s="1"/>
  <c r="F261" i="2" s="1"/>
  <c r="E247" i="2" a="1"/>
  <c r="E247" i="2" s="1"/>
  <c r="F247" i="2" s="1"/>
  <c r="E233" i="2" a="1"/>
  <c r="E233" i="2" s="1"/>
  <c r="F233" i="2" s="1"/>
  <c r="E219" i="2" a="1"/>
  <c r="E219" i="2" s="1"/>
  <c r="F219" i="2" s="1"/>
  <c r="E205" i="2" a="1"/>
  <c r="E205" i="2" s="1"/>
  <c r="F205" i="2" s="1"/>
  <c r="E191" i="2" a="1"/>
  <c r="E191" i="2" s="1"/>
  <c r="F191" i="2" s="1"/>
  <c r="E184" i="2" a="1"/>
  <c r="E184" i="2" s="1"/>
  <c r="F184" i="2" s="1"/>
  <c r="E170" i="2" a="1"/>
  <c r="E170" i="2" s="1"/>
  <c r="F170" i="2" s="1"/>
  <c r="E149" i="2" a="1"/>
  <c r="E149" i="2" s="1"/>
  <c r="F149" i="2" s="1"/>
  <c r="E135" i="2" a="1"/>
  <c r="E135" i="2" s="1"/>
  <c r="F135" i="2" s="1"/>
  <c r="E121" i="2" a="1"/>
  <c r="E121" i="2" s="1"/>
  <c r="F121" i="2" s="1"/>
  <c r="E114" i="2" a="1"/>
  <c r="E114" i="2" s="1"/>
  <c r="F114" i="2" s="1"/>
  <c r="E93" i="2" a="1"/>
  <c r="E93" i="2" s="1"/>
  <c r="F93" i="2" s="1"/>
  <c r="E86" i="2" a="1"/>
  <c r="E86" i="2" s="1"/>
  <c r="F86" i="2" s="1"/>
  <c r="E65" i="2" a="1"/>
  <c r="E65" i="2" s="1"/>
  <c r="F65" i="2" s="1"/>
  <c r="E58" i="2" a="1"/>
  <c r="E58" i="2" s="1"/>
  <c r="F58" i="2" s="1"/>
  <c r="E37" i="2" a="1"/>
  <c r="E37" i="2" s="1"/>
  <c r="F37" i="2" s="1"/>
  <c r="E23" i="2" a="1"/>
  <c r="E23" i="2" s="1"/>
  <c r="F23" i="2" s="1"/>
  <c r="E400" i="2" a="1"/>
  <c r="E400" i="2" s="1"/>
  <c r="F400" i="2" s="1"/>
  <c r="E358" i="2" a="1"/>
  <c r="E358" i="2" s="1"/>
  <c r="F358" i="2" s="1"/>
  <c r="E344" i="2" a="1"/>
  <c r="E344" i="2" s="1"/>
  <c r="F344" i="2" s="1"/>
  <c r="E337" i="2" a="1"/>
  <c r="E337" i="2" s="1"/>
  <c r="F337" i="2" s="1"/>
  <c r="E323" i="2" a="1"/>
  <c r="E323" i="2" s="1"/>
  <c r="F323" i="2" s="1"/>
  <c r="E309" i="2" a="1"/>
  <c r="E309" i="2" s="1"/>
  <c r="F309" i="2" s="1"/>
  <c r="E295" i="2" a="1"/>
  <c r="E295" i="2" s="1"/>
  <c r="F295" i="2" s="1"/>
  <c r="E281" i="2" a="1"/>
  <c r="E281" i="2" s="1"/>
  <c r="F281" i="2" s="1"/>
  <c r="E267" i="2" a="1"/>
  <c r="E267" i="2" s="1"/>
  <c r="F267" i="2" s="1"/>
  <c r="E253" i="2" a="1"/>
  <c r="E253" i="2" s="1"/>
  <c r="F253" i="2" s="1"/>
  <c r="E239" i="2" a="1"/>
  <c r="E239" i="2" s="1"/>
  <c r="F239" i="2" s="1"/>
  <c r="E225" i="2" a="1"/>
  <c r="E225" i="2" s="1"/>
  <c r="F225" i="2" s="1"/>
  <c r="E211" i="2" a="1"/>
  <c r="E211" i="2" s="1"/>
  <c r="F211" i="2" s="1"/>
  <c r="E197" i="2" a="1"/>
  <c r="E197" i="2" s="1"/>
  <c r="F197" i="2" s="1"/>
  <c r="E183" i="2" a="1"/>
  <c r="E183" i="2" s="1"/>
  <c r="F183" i="2" s="1"/>
  <c r="E169" i="2" a="1"/>
  <c r="E169" i="2" s="1"/>
  <c r="F169" i="2" s="1"/>
  <c r="E155" i="2" a="1"/>
  <c r="E155" i="2" s="1"/>
  <c r="F155" i="2" s="1"/>
  <c r="E141" i="2" a="1"/>
  <c r="E141" i="2" s="1"/>
  <c r="F141" i="2" s="1"/>
  <c r="E127" i="2" a="1"/>
  <c r="E127" i="2" s="1"/>
  <c r="F127" i="2" s="1"/>
  <c r="E113" i="2" a="1"/>
  <c r="E113" i="2" s="1"/>
  <c r="F113" i="2" s="1"/>
  <c r="E99" i="2" a="1"/>
  <c r="E99" i="2" s="1"/>
  <c r="F99" i="2" s="1"/>
  <c r="E85" i="2" a="1"/>
  <c r="E85" i="2" s="1"/>
  <c r="F85" i="2" s="1"/>
  <c r="E71" i="2" a="1"/>
  <c r="E71" i="2" s="1"/>
  <c r="F71" i="2" s="1"/>
  <c r="E57" i="2" a="1"/>
  <c r="E57" i="2" s="1"/>
  <c r="F57" i="2" s="1"/>
  <c r="E43" i="2" a="1"/>
  <c r="E43" i="2" s="1"/>
  <c r="F43" i="2" s="1"/>
  <c r="E29" i="2" a="1"/>
  <c r="E29" i="2" s="1"/>
  <c r="F29" i="2" s="1"/>
  <c r="E18" i="2" a="1"/>
  <c r="E18" i="2" s="1"/>
  <c r="F18" i="2" s="1"/>
  <c r="E386" i="2" a="1"/>
  <c r="E386" i="2" s="1"/>
  <c r="F386" i="2" s="1"/>
  <c r="E372" i="2" a="1"/>
  <c r="E372" i="2" s="1"/>
  <c r="F372" i="2" s="1"/>
  <c r="E351" i="2" a="1"/>
  <c r="E351" i="2" s="1"/>
  <c r="F351" i="2" s="1"/>
  <c r="E330" i="2" a="1"/>
  <c r="E330" i="2" s="1"/>
  <c r="F330" i="2" s="1"/>
  <c r="E316" i="2" a="1"/>
  <c r="E316" i="2" s="1"/>
  <c r="F316" i="2" s="1"/>
  <c r="E302" i="2" a="1"/>
  <c r="E302" i="2" s="1"/>
  <c r="F302" i="2" s="1"/>
  <c r="E288" i="2" a="1"/>
  <c r="E288" i="2" s="1"/>
  <c r="F288" i="2" s="1"/>
  <c r="E274" i="2" a="1"/>
  <c r="E274" i="2" s="1"/>
  <c r="F274" i="2" s="1"/>
  <c r="E260" i="2" a="1"/>
  <c r="E260" i="2" s="1"/>
  <c r="F260" i="2" s="1"/>
  <c r="E246" i="2" a="1"/>
  <c r="E246" i="2" s="1"/>
  <c r="F246" i="2" s="1"/>
  <c r="E232" i="2" a="1"/>
  <c r="E232" i="2" s="1"/>
  <c r="F232" i="2" s="1"/>
  <c r="E218" i="2" a="1"/>
  <c r="E218" i="2" s="1"/>
  <c r="F218" i="2" s="1"/>
  <c r="E204" i="2" a="1"/>
  <c r="E204" i="2" s="1"/>
  <c r="F204" i="2" s="1"/>
  <c r="E190" i="2" a="1"/>
  <c r="E190" i="2" s="1"/>
  <c r="F190" i="2" s="1"/>
  <c r="E176" i="2" a="1"/>
  <c r="E176" i="2" s="1"/>
  <c r="F176" i="2" s="1"/>
  <c r="E162" i="2" a="1"/>
  <c r="E162" i="2" s="1"/>
  <c r="F162" i="2" s="1"/>
  <c r="E148" i="2" a="1"/>
  <c r="E148" i="2" s="1"/>
  <c r="F148" i="2" s="1"/>
  <c r="E134" i="2" a="1"/>
  <c r="E134" i="2" s="1"/>
  <c r="F134" i="2" s="1"/>
  <c r="E120" i="2" a="1"/>
  <c r="E120" i="2" s="1"/>
  <c r="F120" i="2" s="1"/>
  <c r="E106" i="2" a="1"/>
  <c r="E106" i="2" s="1"/>
  <c r="F106" i="2" s="1"/>
  <c r="E92" i="2" a="1"/>
  <c r="E92" i="2" s="1"/>
  <c r="F92" i="2" s="1"/>
  <c r="E78" i="2" a="1"/>
  <c r="E78" i="2" s="1"/>
  <c r="F78" i="2" s="1"/>
  <c r="E64" i="2" a="1"/>
  <c r="E64" i="2" s="1"/>
  <c r="F64" i="2" s="1"/>
  <c r="E50" i="2" a="1"/>
  <c r="E50" i="2" s="1"/>
  <c r="F50" i="2" s="1"/>
  <c r="E36" i="2" a="1"/>
  <c r="E36" i="2" s="1"/>
  <c r="F36" i="2" s="1"/>
  <c r="E410" i="2" a="1"/>
  <c r="E410" i="2" s="1"/>
  <c r="F410" i="2" s="1"/>
  <c r="E428" i="2" a="1"/>
  <c r="E428" i="2" s="1"/>
  <c r="F428" i="2" s="1"/>
  <c r="E15" i="2" a="1"/>
  <c r="E15" i="2" s="1"/>
  <c r="F15" i="2" s="1"/>
  <c r="E350" i="2" a="1"/>
  <c r="E350" i="2" s="1"/>
  <c r="F350" i="2" s="1"/>
  <c r="E329" i="2" a="1"/>
  <c r="E329" i="2" s="1"/>
  <c r="F329" i="2" s="1"/>
  <c r="E322" i="2" a="1"/>
  <c r="E322" i="2" s="1"/>
  <c r="F322" i="2" s="1"/>
  <c r="E301" i="2" a="1"/>
  <c r="E301" i="2" s="1"/>
  <c r="F301" i="2" s="1"/>
  <c r="E294" i="2" a="1"/>
  <c r="E294" i="2" s="1"/>
  <c r="F294" i="2" s="1"/>
  <c r="E280" i="2" a="1"/>
  <c r="E280" i="2" s="1"/>
  <c r="F280" i="2" s="1"/>
  <c r="E266" i="2" a="1"/>
  <c r="E266" i="2" s="1"/>
  <c r="F266" i="2" s="1"/>
  <c r="E252" i="2" a="1"/>
  <c r="E252" i="2" s="1"/>
  <c r="F252" i="2" s="1"/>
  <c r="E238" i="2" a="1"/>
  <c r="E238" i="2" s="1"/>
  <c r="F238" i="2" s="1"/>
  <c r="E224" i="2" a="1"/>
  <c r="E224" i="2" s="1"/>
  <c r="F224" i="2" s="1"/>
  <c r="E210" i="2" a="1"/>
  <c r="E210" i="2" s="1"/>
  <c r="F210" i="2" s="1"/>
  <c r="E196" i="2" a="1"/>
  <c r="E196" i="2" s="1"/>
  <c r="F196" i="2" s="1"/>
  <c r="E182" i="2" a="1"/>
  <c r="E182" i="2" s="1"/>
  <c r="F182" i="2" s="1"/>
  <c r="E168" i="2" a="1"/>
  <c r="E168" i="2" s="1"/>
  <c r="F168" i="2" s="1"/>
  <c r="E154" i="2" a="1"/>
  <c r="E154" i="2" s="1"/>
  <c r="F154" i="2" s="1"/>
  <c r="E140" i="2" a="1"/>
  <c r="E140" i="2" s="1"/>
  <c r="F140" i="2" s="1"/>
  <c r="E126" i="2" a="1"/>
  <c r="E126" i="2" s="1"/>
  <c r="F126" i="2" s="1"/>
  <c r="E112" i="2" a="1"/>
  <c r="E112" i="2" s="1"/>
  <c r="F112" i="2" s="1"/>
  <c r="E98" i="2" a="1"/>
  <c r="E98" i="2" s="1"/>
  <c r="F98" i="2" s="1"/>
  <c r="E84" i="2" a="1"/>
  <c r="E84" i="2" s="1"/>
  <c r="F84" i="2" s="1"/>
  <c r="E70" i="2" a="1"/>
  <c r="E70" i="2" s="1"/>
  <c r="F70" i="2" s="1"/>
  <c r="E56" i="2" a="1"/>
  <c r="E56" i="2" s="1"/>
  <c r="F56" i="2" s="1"/>
  <c r="E42" i="2" a="1"/>
  <c r="E42" i="2" s="1"/>
  <c r="F42" i="2" s="1"/>
  <c r="E28" i="2" a="1"/>
  <c r="E28" i="2" s="1"/>
  <c r="F28" i="2" s="1"/>
  <c r="E16" i="2" a="1"/>
  <c r="E16" i="2" s="1"/>
  <c r="F16" i="2" s="1"/>
  <c r="E22" i="2" a="1"/>
  <c r="E22" i="2" s="1"/>
  <c r="F22" i="2" s="1"/>
  <c r="E371" i="2" a="1"/>
  <c r="E371" i="2" s="1"/>
  <c r="F371" i="2" s="1"/>
  <c r="E364" i="2" a="1"/>
  <c r="E364" i="2" s="1"/>
  <c r="F364" i="2" s="1"/>
  <c r="E336" i="2" a="1"/>
  <c r="E336" i="2" s="1"/>
  <c r="F336" i="2" s="1"/>
  <c r="E315" i="2" a="1"/>
  <c r="E315" i="2" s="1"/>
  <c r="F315" i="2" s="1"/>
  <c r="E308" i="2" a="1"/>
  <c r="E308" i="2" s="1"/>
  <c r="F308" i="2" s="1"/>
  <c r="E287" i="2" a="1"/>
  <c r="E287" i="2" s="1"/>
  <c r="F287" i="2" s="1"/>
  <c r="E273" i="2" a="1"/>
  <c r="E273" i="2" s="1"/>
  <c r="F273" i="2" s="1"/>
  <c r="E259" i="2" a="1"/>
  <c r="E259" i="2" s="1"/>
  <c r="F259" i="2" s="1"/>
  <c r="E245" i="2" a="1"/>
  <c r="E245" i="2" s="1"/>
  <c r="F245" i="2" s="1"/>
  <c r="E231" i="2" a="1"/>
  <c r="E231" i="2" s="1"/>
  <c r="F231" i="2" s="1"/>
  <c r="E217" i="2" a="1"/>
  <c r="E217" i="2" s="1"/>
  <c r="F217" i="2" s="1"/>
  <c r="E203" i="2" a="1"/>
  <c r="E203" i="2" s="1"/>
  <c r="F203" i="2" s="1"/>
  <c r="E189" i="2" a="1"/>
  <c r="E189" i="2" s="1"/>
  <c r="F189" i="2" s="1"/>
  <c r="E175" i="2" a="1"/>
  <c r="E175" i="2" s="1"/>
  <c r="F175" i="2" s="1"/>
  <c r="E161" i="2" a="1"/>
  <c r="E161" i="2" s="1"/>
  <c r="F161" i="2" s="1"/>
  <c r="E147" i="2" a="1"/>
  <c r="E147" i="2" s="1"/>
  <c r="F147" i="2" s="1"/>
  <c r="E133" i="2" a="1"/>
  <c r="E133" i="2" s="1"/>
  <c r="F133" i="2" s="1"/>
  <c r="E119" i="2" a="1"/>
  <c r="E119" i="2" s="1"/>
  <c r="F119" i="2" s="1"/>
  <c r="E105" i="2" a="1"/>
  <c r="E105" i="2" s="1"/>
  <c r="F105" i="2" s="1"/>
  <c r="E91" i="2" a="1"/>
  <c r="E91" i="2" s="1"/>
  <c r="F91" i="2" s="1"/>
  <c r="E77" i="2" a="1"/>
  <c r="E77" i="2" s="1"/>
  <c r="F77" i="2" s="1"/>
  <c r="E63" i="2" a="1"/>
  <c r="E63" i="2" s="1"/>
  <c r="F63" i="2" s="1"/>
  <c r="E49" i="2" a="1"/>
  <c r="E49" i="2" s="1"/>
  <c r="F49" i="2" s="1"/>
  <c r="E35" i="2" a="1"/>
  <c r="E35" i="2" s="1"/>
  <c r="F35" i="2" s="1"/>
  <c r="E398" i="2" a="1"/>
  <c r="E398" i="2" s="1"/>
  <c r="F398" i="2" s="1"/>
  <c r="E370" i="2" a="1"/>
  <c r="E370" i="2" s="1"/>
  <c r="F370" i="2" s="1"/>
  <c r="E349" i="2" a="1"/>
  <c r="E349" i="2" s="1"/>
  <c r="F349" i="2" s="1"/>
  <c r="E328" i="2" a="1"/>
  <c r="E328" i="2" s="1"/>
  <c r="F328" i="2" s="1"/>
  <c r="E321" i="2" a="1"/>
  <c r="E321" i="2" s="1"/>
  <c r="F321" i="2" s="1"/>
  <c r="E307" i="2" a="1"/>
  <c r="E307" i="2" s="1"/>
  <c r="F307" i="2" s="1"/>
  <c r="E293" i="2" a="1"/>
  <c r="E293" i="2" s="1"/>
  <c r="F293" i="2" s="1"/>
  <c r="E279" i="2" a="1"/>
  <c r="E279" i="2" s="1"/>
  <c r="F279" i="2" s="1"/>
  <c r="E265" i="2" a="1"/>
  <c r="E265" i="2" s="1"/>
  <c r="F265" i="2" s="1"/>
  <c r="E251" i="2" a="1"/>
  <c r="E251" i="2" s="1"/>
  <c r="F251" i="2" s="1"/>
  <c r="E237" i="2" a="1"/>
  <c r="E237" i="2" s="1"/>
  <c r="F237" i="2" s="1"/>
  <c r="E223" i="2" a="1"/>
  <c r="E223" i="2" s="1"/>
  <c r="F223" i="2" s="1"/>
  <c r="E209" i="2" a="1"/>
  <c r="E209" i="2" s="1"/>
  <c r="F209" i="2" s="1"/>
  <c r="E195" i="2" a="1"/>
  <c r="E195" i="2" s="1"/>
  <c r="F195" i="2" s="1"/>
  <c r="E181" i="2" a="1"/>
  <c r="E181" i="2" s="1"/>
  <c r="F181" i="2" s="1"/>
  <c r="E167" i="2" a="1"/>
  <c r="E167" i="2" s="1"/>
  <c r="F167" i="2" s="1"/>
  <c r="E153" i="2" a="1"/>
  <c r="E153" i="2" s="1"/>
  <c r="F153" i="2" s="1"/>
  <c r="E139" i="2" a="1"/>
  <c r="E139" i="2" s="1"/>
  <c r="F139" i="2" s="1"/>
  <c r="E125" i="2" a="1"/>
  <c r="E125" i="2" s="1"/>
  <c r="F125" i="2" s="1"/>
  <c r="E111" i="2" a="1"/>
  <c r="E111" i="2" s="1"/>
  <c r="F111" i="2" s="1"/>
  <c r="E97" i="2" a="1"/>
  <c r="E97" i="2" s="1"/>
  <c r="F97" i="2" s="1"/>
  <c r="E83" i="2" a="1"/>
  <c r="E83" i="2" s="1"/>
  <c r="F83" i="2" s="1"/>
  <c r="E69" i="2" a="1"/>
  <c r="E69" i="2" s="1"/>
  <c r="F69" i="2" s="1"/>
  <c r="E55" i="2" a="1"/>
  <c r="E55" i="2" s="1"/>
  <c r="F55" i="2" s="1"/>
  <c r="E41" i="2" a="1"/>
  <c r="E41" i="2" s="1"/>
  <c r="F41" i="2" s="1"/>
  <c r="E27" i="2" a="1"/>
  <c r="E27" i="2" s="1"/>
  <c r="F27" i="2" s="1"/>
  <c r="E14" i="2" a="1"/>
  <c r="E14" i="2" s="1"/>
  <c r="F14" i="2" s="1"/>
  <c r="E384" i="2" a="1"/>
  <c r="E384" i="2" s="1"/>
  <c r="F384" i="2" s="1"/>
  <c r="E356" i="2" a="1"/>
  <c r="E356" i="2" s="1"/>
  <c r="F356" i="2" s="1"/>
  <c r="E342" i="2" a="1"/>
  <c r="E342" i="2" s="1"/>
  <c r="F342" i="2" s="1"/>
  <c r="E335" i="2" a="1"/>
  <c r="E335" i="2" s="1"/>
  <c r="F335" i="2" s="1"/>
  <c r="E314" i="2" a="1"/>
  <c r="E314" i="2" s="1"/>
  <c r="F314" i="2" s="1"/>
  <c r="E300" i="2" a="1"/>
  <c r="E300" i="2" s="1"/>
  <c r="F300" i="2" s="1"/>
  <c r="E286" i="2" a="1"/>
  <c r="E286" i="2" s="1"/>
  <c r="F286" i="2" s="1"/>
  <c r="E272" i="2" a="1"/>
  <c r="E272" i="2" s="1"/>
  <c r="F272" i="2" s="1"/>
  <c r="E258" i="2" a="1"/>
  <c r="E258" i="2" s="1"/>
  <c r="F258" i="2" s="1"/>
  <c r="E244" i="2" a="1"/>
  <c r="E244" i="2" s="1"/>
  <c r="F244" i="2" s="1"/>
  <c r="E230" i="2" a="1"/>
  <c r="E230" i="2" s="1"/>
  <c r="F230" i="2" s="1"/>
  <c r="E216" i="2" a="1"/>
  <c r="E216" i="2" s="1"/>
  <c r="F216" i="2" s="1"/>
  <c r="E202" i="2" a="1"/>
  <c r="E202" i="2" s="1"/>
  <c r="F202" i="2" s="1"/>
  <c r="E188" i="2" a="1"/>
  <c r="E188" i="2" s="1"/>
  <c r="F188" i="2" s="1"/>
  <c r="E174" i="2" a="1"/>
  <c r="E174" i="2" s="1"/>
  <c r="F174" i="2" s="1"/>
  <c r="E160" i="2" a="1"/>
  <c r="E160" i="2" s="1"/>
  <c r="F160" i="2" s="1"/>
  <c r="E146" i="2" a="1"/>
  <c r="E146" i="2" s="1"/>
  <c r="F146" i="2" s="1"/>
  <c r="E132" i="2" a="1"/>
  <c r="E132" i="2" s="1"/>
  <c r="F132" i="2" s="1"/>
  <c r="E118" i="2" a="1"/>
  <c r="E118" i="2" s="1"/>
  <c r="F118" i="2" s="1"/>
  <c r="E104" i="2" a="1"/>
  <c r="E104" i="2" s="1"/>
  <c r="F104" i="2" s="1"/>
  <c r="E90" i="2" a="1"/>
  <c r="E90" i="2" s="1"/>
  <c r="F90" i="2" s="1"/>
  <c r="E76" i="2" a="1"/>
  <c r="E76" i="2" s="1"/>
  <c r="F76" i="2" s="1"/>
  <c r="E62" i="2" a="1"/>
  <c r="E62" i="2" s="1"/>
  <c r="F62" i="2" s="1"/>
  <c r="E48" i="2" a="1"/>
  <c r="E48" i="2" s="1"/>
  <c r="F48" i="2" s="1"/>
  <c r="E34" i="2" a="1"/>
  <c r="E34" i="2" s="1"/>
  <c r="F34" i="2" s="1"/>
  <c r="E21" i="2" a="1"/>
  <c r="E21" i="2" s="1"/>
  <c r="F21" i="2" s="1"/>
  <c r="E412" i="2" a="1"/>
  <c r="E412" i="2" s="1"/>
  <c r="F412" i="2" s="1"/>
  <c r="E13" i="2" a="1"/>
  <c r="E13" i="2" s="1"/>
  <c r="F13" i="2" s="1"/>
  <c r="E348" i="2" a="1"/>
  <c r="E348" i="2" s="1"/>
  <c r="F348" i="2" s="1"/>
  <c r="E327" i="2" a="1"/>
  <c r="E327" i="2" s="1"/>
  <c r="F327" i="2" s="1"/>
  <c r="E320" i="2" a="1"/>
  <c r="E320" i="2" s="1"/>
  <c r="F320" i="2" s="1"/>
  <c r="E306" i="2" a="1"/>
  <c r="E306" i="2" s="1"/>
  <c r="F306" i="2" s="1"/>
  <c r="E292" i="2" a="1"/>
  <c r="E292" i="2" s="1"/>
  <c r="F292" i="2" s="1"/>
  <c r="E278" i="2" a="1"/>
  <c r="E278" i="2" s="1"/>
  <c r="F278" i="2" s="1"/>
  <c r="E264" i="2" a="1"/>
  <c r="E264" i="2" s="1"/>
  <c r="F264" i="2" s="1"/>
  <c r="E250" i="2" a="1"/>
  <c r="E250" i="2" s="1"/>
  <c r="F250" i="2" s="1"/>
  <c r="E236" i="2" a="1"/>
  <c r="E236" i="2" s="1"/>
  <c r="F236" i="2" s="1"/>
  <c r="E222" i="2" a="1"/>
  <c r="E222" i="2" s="1"/>
  <c r="F222" i="2" s="1"/>
  <c r="E208" i="2" a="1"/>
  <c r="E208" i="2" s="1"/>
  <c r="F208" i="2" s="1"/>
  <c r="E194" i="2" a="1"/>
  <c r="E194" i="2" s="1"/>
  <c r="F194" i="2" s="1"/>
  <c r="E180" i="2" a="1"/>
  <c r="E180" i="2" s="1"/>
  <c r="F180" i="2" s="1"/>
  <c r="E166" i="2" a="1"/>
  <c r="E166" i="2" s="1"/>
  <c r="F166" i="2" s="1"/>
  <c r="E152" i="2" a="1"/>
  <c r="E152" i="2" s="1"/>
  <c r="F152" i="2" s="1"/>
  <c r="E138" i="2" a="1"/>
  <c r="E138" i="2" s="1"/>
  <c r="F138" i="2" s="1"/>
  <c r="E124" i="2" a="1"/>
  <c r="E124" i="2" s="1"/>
  <c r="F124" i="2" s="1"/>
  <c r="E110" i="2" a="1"/>
  <c r="E110" i="2" s="1"/>
  <c r="F110" i="2" s="1"/>
  <c r="E96" i="2" a="1"/>
  <c r="E96" i="2" s="1"/>
  <c r="F96" i="2" s="1"/>
  <c r="E82" i="2" a="1"/>
  <c r="E82" i="2" s="1"/>
  <c r="F82" i="2" s="1"/>
  <c r="E68" i="2" a="1"/>
  <c r="E68" i="2" s="1"/>
  <c r="F68" i="2" s="1"/>
  <c r="E54" i="2" a="1"/>
  <c r="E54" i="2" s="1"/>
  <c r="F54" i="2" s="1"/>
  <c r="E40" i="2" a="1"/>
  <c r="E40" i="2" s="1"/>
  <c r="F40" i="2" s="1"/>
  <c r="E26" i="2" a="1"/>
  <c r="E26" i="2" s="1"/>
  <c r="F26" i="2" s="1"/>
  <c r="E426" i="2" a="1"/>
  <c r="E426" i="2" s="1"/>
  <c r="F426" i="2" s="1"/>
  <c r="E20" i="2" a="1"/>
  <c r="E20" i="2" s="1"/>
  <c r="F20" i="2" s="1"/>
  <c r="E362" i="2" a="1"/>
  <c r="E362" i="2" s="1"/>
  <c r="F362" i="2" s="1"/>
  <c r="E341" i="2" a="1"/>
  <c r="E341" i="2" s="1"/>
  <c r="F341" i="2" s="1"/>
  <c r="E334" i="2" a="1"/>
  <c r="E334" i="2" s="1"/>
  <c r="F334" i="2" s="1"/>
  <c r="E313" i="2" a="1"/>
  <c r="E313" i="2" s="1"/>
  <c r="F313" i="2" s="1"/>
  <c r="E299" i="2" a="1"/>
  <c r="E299" i="2" s="1"/>
  <c r="F299" i="2" s="1"/>
  <c r="E285" i="2" a="1"/>
  <c r="E285" i="2" s="1"/>
  <c r="F285" i="2" s="1"/>
  <c r="E271" i="2" a="1"/>
  <c r="E271" i="2" s="1"/>
  <c r="F271" i="2" s="1"/>
  <c r="E257" i="2" a="1"/>
  <c r="E257" i="2" s="1"/>
  <c r="F257" i="2" s="1"/>
  <c r="E243" i="2" a="1"/>
  <c r="E243" i="2" s="1"/>
  <c r="F243" i="2" s="1"/>
  <c r="E229" i="2" a="1"/>
  <c r="E229" i="2" s="1"/>
  <c r="F229" i="2" s="1"/>
  <c r="E215" i="2" a="1"/>
  <c r="E215" i="2" s="1"/>
  <c r="F215" i="2" s="1"/>
  <c r="E201" i="2" a="1"/>
  <c r="E201" i="2" s="1"/>
  <c r="F201" i="2" s="1"/>
  <c r="E187" i="2" a="1"/>
  <c r="E187" i="2" s="1"/>
  <c r="F187" i="2" s="1"/>
  <c r="E173" i="2" a="1"/>
  <c r="E173" i="2" s="1"/>
  <c r="F173" i="2" s="1"/>
  <c r="E159" i="2" a="1"/>
  <c r="E159" i="2" s="1"/>
  <c r="F159" i="2" s="1"/>
  <c r="E145" i="2" a="1"/>
  <c r="E145" i="2" s="1"/>
  <c r="F145" i="2" s="1"/>
  <c r="E131" i="2" a="1"/>
  <c r="E131" i="2" s="1"/>
  <c r="F131" i="2" s="1"/>
  <c r="E117" i="2" a="1"/>
  <c r="E117" i="2" s="1"/>
  <c r="F117" i="2" s="1"/>
  <c r="E103" i="2" a="1"/>
  <c r="E103" i="2" s="1"/>
  <c r="F103" i="2" s="1"/>
  <c r="E89" i="2" a="1"/>
  <c r="E89" i="2" s="1"/>
  <c r="F89" i="2" s="1"/>
  <c r="E75" i="2" a="1"/>
  <c r="E75" i="2" s="1"/>
  <c r="F75" i="2" s="1"/>
  <c r="E61" i="2" a="1"/>
  <c r="E61" i="2" s="1"/>
  <c r="F61" i="2" s="1"/>
  <c r="E47" i="2" a="1"/>
  <c r="E47" i="2" s="1"/>
  <c r="F47" i="2" s="1"/>
  <c r="E33" i="2" a="1"/>
  <c r="E33" i="2" s="1"/>
  <c r="F33" i="2" s="1"/>
  <c r="E466" i="2" a="1"/>
  <c r="E466" i="2" s="1"/>
  <c r="F466" i="2" s="1"/>
  <c r="E382" i="2" a="1"/>
  <c r="E382" i="2" s="1"/>
  <c r="F382" i="2" s="1"/>
  <c r="E361" i="2" a="1"/>
  <c r="E361" i="2" s="1"/>
  <c r="F361" i="2" s="1"/>
  <c r="E347" i="2" a="1"/>
  <c r="E347" i="2" s="1"/>
  <c r="F347" i="2" s="1"/>
  <c r="E333" i="2" a="1"/>
  <c r="E333" i="2" s="1"/>
  <c r="F333" i="2" s="1"/>
  <c r="E319" i="2" a="1"/>
  <c r="E319" i="2" s="1"/>
  <c r="F319" i="2" s="1"/>
  <c r="E305" i="2" a="1"/>
  <c r="E305" i="2" s="1"/>
  <c r="F305" i="2" s="1"/>
  <c r="E284" i="2" a="1"/>
  <c r="E284" i="2" s="1"/>
  <c r="F284" i="2" s="1"/>
  <c r="E270" i="2" a="1"/>
  <c r="E270" i="2" s="1"/>
  <c r="F270" i="2" s="1"/>
  <c r="E263" i="2" a="1"/>
  <c r="E263" i="2" s="1"/>
  <c r="F263" i="2" s="1"/>
  <c r="E249" i="2" a="1"/>
  <c r="E249" i="2" s="1"/>
  <c r="F249" i="2" s="1"/>
  <c r="E235" i="2" a="1"/>
  <c r="E235" i="2" s="1"/>
  <c r="F235" i="2" s="1"/>
  <c r="E221" i="2" a="1"/>
  <c r="E221" i="2" s="1"/>
  <c r="F221" i="2" s="1"/>
  <c r="E207" i="2" a="1"/>
  <c r="E207" i="2" s="1"/>
  <c r="F207" i="2" s="1"/>
  <c r="E193" i="2" a="1"/>
  <c r="E193" i="2" s="1"/>
  <c r="F193" i="2" s="1"/>
  <c r="E179" i="2" a="1"/>
  <c r="E179" i="2" s="1"/>
  <c r="F179" i="2" s="1"/>
  <c r="E165" i="2" a="1"/>
  <c r="E165" i="2" s="1"/>
  <c r="F165" i="2" s="1"/>
  <c r="E151" i="2" a="1"/>
  <c r="E151" i="2" s="1"/>
  <c r="F151" i="2" s="1"/>
  <c r="E137" i="2" a="1"/>
  <c r="E137" i="2" s="1"/>
  <c r="F137" i="2" s="1"/>
  <c r="E123" i="2" a="1"/>
  <c r="E123" i="2" s="1"/>
  <c r="F123" i="2" s="1"/>
  <c r="E102" i="2" a="1"/>
  <c r="E102" i="2" s="1"/>
  <c r="F102" i="2" s="1"/>
  <c r="E88" i="2" a="1"/>
  <c r="E88" i="2" s="1"/>
  <c r="F88" i="2" s="1"/>
  <c r="E74" i="2" a="1"/>
  <c r="E74" i="2" s="1"/>
  <c r="F74" i="2" s="1"/>
  <c r="E60" i="2" a="1"/>
  <c r="E60" i="2" s="1"/>
  <c r="F60" i="2" s="1"/>
  <c r="E46" i="2" a="1"/>
  <c r="E46" i="2" s="1"/>
  <c r="F46" i="2" s="1"/>
  <c r="E32" i="2" a="1"/>
  <c r="E32" i="2" s="1"/>
  <c r="F32" i="2" s="1"/>
  <c r="E25" i="2" a="1"/>
  <c r="E25" i="2" s="1"/>
  <c r="F25" i="2" s="1"/>
  <c r="E396" i="2" a="1"/>
  <c r="E396" i="2" s="1"/>
  <c r="F396" i="2" s="1"/>
  <c r="E368" i="2" a="1"/>
  <c r="E368" i="2" s="1"/>
  <c r="F368" i="2" s="1"/>
  <c r="E354" i="2" a="1"/>
  <c r="E354" i="2" s="1"/>
  <c r="F354" i="2" s="1"/>
  <c r="E340" i="2" a="1"/>
  <c r="E340" i="2" s="1"/>
  <c r="F340" i="2" s="1"/>
  <c r="E326" i="2" a="1"/>
  <c r="E326" i="2" s="1"/>
  <c r="F326" i="2" s="1"/>
  <c r="E312" i="2" a="1"/>
  <c r="E312" i="2" s="1"/>
  <c r="F312" i="2" s="1"/>
  <c r="E298" i="2" a="1"/>
  <c r="E298" i="2" s="1"/>
  <c r="F298" i="2" s="1"/>
  <c r="E291" i="2" a="1"/>
  <c r="E291" i="2" s="1"/>
  <c r="F291" i="2" s="1"/>
  <c r="E277" i="2" a="1"/>
  <c r="E277" i="2" s="1"/>
  <c r="F277" i="2" s="1"/>
  <c r="E256" i="2" a="1"/>
  <c r="E256" i="2" s="1"/>
  <c r="F256" i="2" s="1"/>
  <c r="E242" i="2" a="1"/>
  <c r="E242" i="2" s="1"/>
  <c r="F242" i="2" s="1"/>
  <c r="E228" i="2" a="1"/>
  <c r="E228" i="2" s="1"/>
  <c r="F228" i="2" s="1"/>
  <c r="E214" i="2" a="1"/>
  <c r="E214" i="2" s="1"/>
  <c r="F214" i="2" s="1"/>
  <c r="E200" i="2" a="1"/>
  <c r="E200" i="2" s="1"/>
  <c r="F200" i="2" s="1"/>
  <c r="E186" i="2" a="1"/>
  <c r="E186" i="2" s="1"/>
  <c r="F186" i="2" s="1"/>
  <c r="E172" i="2" a="1"/>
  <c r="E172" i="2" s="1"/>
  <c r="F172" i="2" s="1"/>
  <c r="E158" i="2" a="1"/>
  <c r="E158" i="2" s="1"/>
  <c r="F158" i="2" s="1"/>
  <c r="E144" i="2" a="1"/>
  <c r="E144" i="2" s="1"/>
  <c r="F144" i="2" s="1"/>
  <c r="E130" i="2" a="1"/>
  <c r="E130" i="2" s="1"/>
  <c r="F130" i="2" s="1"/>
  <c r="E116" i="2" a="1"/>
  <c r="E116" i="2" s="1"/>
  <c r="F116" i="2" s="1"/>
  <c r="E109" i="2" a="1"/>
  <c r="E109" i="2" s="1"/>
  <c r="F109" i="2" s="1"/>
  <c r="E95" i="2" a="1"/>
  <c r="E95" i="2" s="1"/>
  <c r="F95" i="2" s="1"/>
  <c r="E81" i="2" a="1"/>
  <c r="E81" i="2" s="1"/>
  <c r="F81" i="2" s="1"/>
  <c r="E67" i="2" a="1"/>
  <c r="E67" i="2" s="1"/>
  <c r="F67" i="2" s="1"/>
  <c r="E53" i="2" a="1"/>
  <c r="E53" i="2" s="1"/>
  <c r="F53" i="2" s="1"/>
  <c r="E39" i="2" a="1"/>
  <c r="E39" i="2" s="1"/>
  <c r="F39" i="2" s="1"/>
  <c r="E424" i="2" a="1"/>
  <c r="E424" i="2" s="1"/>
  <c r="F424" i="2" s="1"/>
  <c r="E388" i="2" a="1"/>
  <c r="E388" i="2" s="1"/>
  <c r="F388" i="2" s="1"/>
  <c r="E360" i="2" a="1"/>
  <c r="E360" i="2" s="1"/>
  <c r="F360" i="2" s="1"/>
  <c r="E346" i="2" a="1"/>
  <c r="E346" i="2" s="1"/>
  <c r="F346" i="2" s="1"/>
  <c r="E332" i="2" a="1"/>
  <c r="E332" i="2" s="1"/>
  <c r="F332" i="2" s="1"/>
  <c r="E318" i="2" a="1"/>
  <c r="E318" i="2" s="1"/>
  <c r="F318" i="2" s="1"/>
  <c r="E304" i="2" a="1"/>
  <c r="E304" i="2" s="1"/>
  <c r="F304" i="2" s="1"/>
  <c r="E290" i="2" a="1"/>
  <c r="E290" i="2" s="1"/>
  <c r="F290" i="2" s="1"/>
  <c r="E276" i="2" a="1"/>
  <c r="E276" i="2" s="1"/>
  <c r="F276" i="2" s="1"/>
  <c r="E262" i="2" a="1"/>
  <c r="E262" i="2" s="1"/>
  <c r="F262" i="2" s="1"/>
  <c r="E248" i="2" a="1"/>
  <c r="E248" i="2" s="1"/>
  <c r="F248" i="2" s="1"/>
  <c r="E234" i="2" a="1"/>
  <c r="E234" i="2" s="1"/>
  <c r="F234" i="2" s="1"/>
  <c r="E220" i="2" a="1"/>
  <c r="E220" i="2" s="1"/>
  <c r="F220" i="2" s="1"/>
  <c r="E213" i="2" a="1"/>
  <c r="E213" i="2" s="1"/>
  <c r="F213" i="2" s="1"/>
  <c r="E199" i="2" a="1"/>
  <c r="E199" i="2" s="1"/>
  <c r="F199" i="2" s="1"/>
  <c r="E185" i="2" a="1"/>
  <c r="E185" i="2" s="1"/>
  <c r="F185" i="2" s="1"/>
  <c r="E171" i="2" a="1"/>
  <c r="E171" i="2" s="1"/>
  <c r="F171" i="2" s="1"/>
  <c r="E157" i="2" a="1"/>
  <c r="E157" i="2" s="1"/>
  <c r="F157" i="2" s="1"/>
  <c r="E143" i="2" a="1"/>
  <c r="E143" i="2" s="1"/>
  <c r="F143" i="2" s="1"/>
  <c r="E129" i="2" a="1"/>
  <c r="E129" i="2" s="1"/>
  <c r="F129" i="2" s="1"/>
  <c r="E115" i="2" a="1"/>
  <c r="E115" i="2" s="1"/>
  <c r="F115" i="2" s="1"/>
  <c r="E101" i="2" a="1"/>
  <c r="E101" i="2" s="1"/>
  <c r="F101" i="2" s="1"/>
  <c r="E87" i="2" a="1"/>
  <c r="E87" i="2" s="1"/>
  <c r="F87" i="2" s="1"/>
  <c r="E73" i="2" a="1"/>
  <c r="E73" i="2" s="1"/>
  <c r="F73" i="2" s="1"/>
  <c r="E59" i="2" a="1"/>
  <c r="E59" i="2" s="1"/>
  <c r="F59" i="2" s="1"/>
  <c r="E45" i="2" a="1"/>
  <c r="E45" i="2" s="1"/>
  <c r="F45" i="2" s="1"/>
  <c r="E31" i="2" a="1"/>
  <c r="E31" i="2" s="1"/>
  <c r="F31" i="2" s="1"/>
  <c r="E416" i="2" a="1"/>
  <c r="E416" i="2" s="1"/>
  <c r="F416" i="2" s="1"/>
  <c r="E374" i="2" a="1"/>
  <c r="E374" i="2" s="1"/>
  <c r="F374" i="2" s="1"/>
  <c r="E353" i="2" a="1"/>
  <c r="E353" i="2" s="1"/>
  <c r="F353" i="2" s="1"/>
  <c r="E339" i="2" a="1"/>
  <c r="E339" i="2" s="1"/>
  <c r="F339" i="2" s="1"/>
  <c r="E325" i="2" a="1"/>
  <c r="E325" i="2" s="1"/>
  <c r="F325" i="2" s="1"/>
  <c r="E311" i="2" a="1"/>
  <c r="E311" i="2" s="1"/>
  <c r="F311" i="2" s="1"/>
  <c r="E297" i="2" a="1"/>
  <c r="E297" i="2" s="1"/>
  <c r="F297" i="2" s="1"/>
  <c r="E283" i="2" a="1"/>
  <c r="E283" i="2" s="1"/>
  <c r="F283" i="2" s="1"/>
  <c r="E269" i="2" a="1"/>
  <c r="E269" i="2" s="1"/>
  <c r="F269" i="2" s="1"/>
  <c r="E255" i="2" a="1"/>
  <c r="E255" i="2" s="1"/>
  <c r="F255" i="2" s="1"/>
  <c r="E241" i="2" a="1"/>
  <c r="E241" i="2" s="1"/>
  <c r="F241" i="2" s="1"/>
  <c r="E227" i="2" a="1"/>
  <c r="E227" i="2" s="1"/>
  <c r="F227" i="2" s="1"/>
  <c r="E206" i="2" a="1"/>
  <c r="E206" i="2" s="1"/>
  <c r="F206" i="2" s="1"/>
  <c r="E192" i="2" a="1"/>
  <c r="E192" i="2" s="1"/>
  <c r="F192" i="2" s="1"/>
  <c r="E178" i="2" a="1"/>
  <c r="E178" i="2" s="1"/>
  <c r="F178" i="2" s="1"/>
  <c r="E164" i="2" a="1"/>
  <c r="E164" i="2" s="1"/>
  <c r="F164" i="2" s="1"/>
  <c r="E150" i="2" a="1"/>
  <c r="E150" i="2" s="1"/>
  <c r="F150" i="2" s="1"/>
  <c r="E136" i="2" a="1"/>
  <c r="E136" i="2" s="1"/>
  <c r="F136" i="2" s="1"/>
  <c r="E122" i="2" a="1"/>
  <c r="E122" i="2" s="1"/>
  <c r="F122" i="2" s="1"/>
  <c r="E108" i="2" a="1"/>
  <c r="E108" i="2" s="1"/>
  <c r="F108" i="2" s="1"/>
  <c r="E94" i="2" a="1"/>
  <c r="E94" i="2" s="1"/>
  <c r="F94" i="2" s="1"/>
  <c r="E80" i="2" a="1"/>
  <c r="E80" i="2" s="1"/>
  <c r="F80" i="2" s="1"/>
  <c r="E66" i="2" a="1"/>
  <c r="E66" i="2" s="1"/>
  <c r="F66" i="2" s="1"/>
  <c r="E52" i="2" a="1"/>
  <c r="E52" i="2" s="1"/>
  <c r="F52" i="2" s="1"/>
  <c r="E38" i="2" a="1"/>
  <c r="E38" i="2" s="1"/>
  <c r="F38" i="2" s="1"/>
  <c r="M38" i="1"/>
  <c r="M65" i="1"/>
  <c r="M37" i="1"/>
  <c r="M64" i="1"/>
  <c r="M50" i="1"/>
  <c r="M59" i="1"/>
  <c r="M45" i="1"/>
  <c r="M17" i="1"/>
  <c r="M58" i="1"/>
  <c r="M44" i="1"/>
  <c r="M30" i="1"/>
  <c r="M16" i="1"/>
  <c r="M51" i="1"/>
  <c r="M36" i="1"/>
  <c r="M31" i="1"/>
  <c r="M57" i="1"/>
  <c r="M43" i="1"/>
  <c r="M29" i="1"/>
  <c r="M15" i="1"/>
  <c r="M56" i="1"/>
  <c r="M42" i="1"/>
  <c r="M28" i="1"/>
  <c r="M55" i="1"/>
  <c r="M41" i="1"/>
  <c r="M54" i="1"/>
  <c r="M40" i="1"/>
  <c r="M26" i="1"/>
  <c r="M2" i="1"/>
  <c r="M53" i="1"/>
  <c r="M39" i="1"/>
  <c r="M25" i="1"/>
  <c r="M11" i="1"/>
  <c r="M63" i="1"/>
  <c r="M49" i="1"/>
  <c r="M35" i="1"/>
  <c r="M21" i="1"/>
  <c r="M62" i="1"/>
  <c r="M48" i="1"/>
  <c r="M34" i="1"/>
  <c r="M20" i="1"/>
  <c r="M6" i="1"/>
  <c r="M66" i="1"/>
  <c r="M52" i="1"/>
  <c r="M23" i="1"/>
  <c r="M61" i="1"/>
  <c r="M47" i="1"/>
  <c r="M33" i="1"/>
  <c r="M60" i="1"/>
  <c r="M46" i="1"/>
  <c r="M32" i="1"/>
  <c r="M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<sst xmlns="http://schemas.openxmlformats.org/spreadsheetml/2006/main" count="21" uniqueCount="19">
  <si>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Date</t>
  </si>
  <si>
    <t>SP500</t>
  </si>
  <si>
    <t>GOLD</t>
  </si>
  <si>
    <t>Bretton Woods End Date</t>
  </si>
  <si>
    <t>Artificial Y</t>
  </si>
  <si>
    <t>Stagflation Period</t>
  </si>
  <si>
    <t>The Great Moderation</t>
  </si>
  <si>
    <t>US inflation rate</t>
  </si>
  <si>
    <t>1 + Inflation</t>
  </si>
  <si>
    <t>Compounded</t>
  </si>
  <si>
    <t>NASDAQ</t>
  </si>
  <si>
    <t>year</t>
  </si>
  <si>
    <t>month</t>
  </si>
  <si>
    <t>end of year value</t>
  </si>
  <si>
    <t>normalized</t>
  </si>
  <si>
    <t>Month</t>
  </si>
  <si>
    <t>Min</t>
  </si>
  <si>
    <t>Max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</si>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</sst>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3"/>
          <c:tx>
            <c:v>Stagflation</c:v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Sheet1!$A$603:$A$1332</c:f>
              <c:numCache>
                <c:formatCode>m/d/yy</c:formatCode>
                <c:ptCount val="730"/>
                <c:pt idx="0">
                  <c:v>23774</c:v>
                </c:pt>
                <c:pt idx="1">
                  <c:v>23802</c:v>
                </c:pt>
                <c:pt idx="2">
                  <c:v>23833</c:v>
                </c:pt>
                <c:pt idx="3">
                  <c:v>23863</c:v>
                </c:pt>
                <c:pt idx="4">
                  <c:v>23894</c:v>
                </c:pt>
                <c:pt idx="5">
                  <c:v>23924</c:v>
                </c:pt>
                <c:pt idx="6">
                  <c:v>23955</c:v>
                </c:pt>
                <c:pt idx="7">
                  <c:v>23986</c:v>
                </c:pt>
                <c:pt idx="8">
                  <c:v>24016</c:v>
                </c:pt>
                <c:pt idx="9">
                  <c:v>24047</c:v>
                </c:pt>
                <c:pt idx="10">
                  <c:v>24077</c:v>
                </c:pt>
                <c:pt idx="11">
                  <c:v>24108</c:v>
                </c:pt>
                <c:pt idx="12">
                  <c:v>24139</c:v>
                </c:pt>
                <c:pt idx="13">
                  <c:v>24167</c:v>
                </c:pt>
                <c:pt idx="14">
                  <c:v>24198</c:v>
                </c:pt>
                <c:pt idx="15">
                  <c:v>24228</c:v>
                </c:pt>
                <c:pt idx="16">
                  <c:v>24259</c:v>
                </c:pt>
                <c:pt idx="17">
                  <c:v>24289</c:v>
                </c:pt>
                <c:pt idx="18">
                  <c:v>24320</c:v>
                </c:pt>
                <c:pt idx="19">
                  <c:v>24351</c:v>
                </c:pt>
                <c:pt idx="20">
                  <c:v>24381</c:v>
                </c:pt>
                <c:pt idx="21">
                  <c:v>24412</c:v>
                </c:pt>
                <c:pt idx="22">
                  <c:v>24442</c:v>
                </c:pt>
                <c:pt idx="23">
                  <c:v>24473</c:v>
                </c:pt>
                <c:pt idx="24">
                  <c:v>24504</c:v>
                </c:pt>
                <c:pt idx="25">
                  <c:v>24532</c:v>
                </c:pt>
                <c:pt idx="26">
                  <c:v>24563</c:v>
                </c:pt>
                <c:pt idx="27">
                  <c:v>24593</c:v>
                </c:pt>
                <c:pt idx="28">
                  <c:v>24624</c:v>
                </c:pt>
                <c:pt idx="29">
                  <c:v>24654</c:v>
                </c:pt>
                <c:pt idx="30">
                  <c:v>24685</c:v>
                </c:pt>
                <c:pt idx="31">
                  <c:v>24716</c:v>
                </c:pt>
                <c:pt idx="32">
                  <c:v>24746</c:v>
                </c:pt>
                <c:pt idx="33">
                  <c:v>24777</c:v>
                </c:pt>
                <c:pt idx="34">
                  <c:v>24807</c:v>
                </c:pt>
                <c:pt idx="35">
                  <c:v>24838</c:v>
                </c:pt>
                <c:pt idx="36">
                  <c:v>24869</c:v>
                </c:pt>
                <c:pt idx="37">
                  <c:v>24898</c:v>
                </c:pt>
                <c:pt idx="38">
                  <c:v>24929</c:v>
                </c:pt>
                <c:pt idx="39">
                  <c:v>24959</c:v>
                </c:pt>
                <c:pt idx="40">
                  <c:v>24990</c:v>
                </c:pt>
                <c:pt idx="41">
                  <c:v>25020</c:v>
                </c:pt>
                <c:pt idx="42">
                  <c:v>25051</c:v>
                </c:pt>
                <c:pt idx="43">
                  <c:v>25082</c:v>
                </c:pt>
                <c:pt idx="44">
                  <c:v>25112</c:v>
                </c:pt>
                <c:pt idx="45">
                  <c:v>25143</c:v>
                </c:pt>
                <c:pt idx="46">
                  <c:v>25173</c:v>
                </c:pt>
                <c:pt idx="47">
                  <c:v>25204</c:v>
                </c:pt>
                <c:pt idx="48">
                  <c:v>25235</c:v>
                </c:pt>
                <c:pt idx="49">
                  <c:v>25263</c:v>
                </c:pt>
                <c:pt idx="50">
                  <c:v>25294</c:v>
                </c:pt>
                <c:pt idx="51">
                  <c:v>25324</c:v>
                </c:pt>
                <c:pt idx="52">
                  <c:v>25355</c:v>
                </c:pt>
                <c:pt idx="53">
                  <c:v>25385</c:v>
                </c:pt>
                <c:pt idx="54">
                  <c:v>25416</c:v>
                </c:pt>
                <c:pt idx="55">
                  <c:v>25447</c:v>
                </c:pt>
                <c:pt idx="56">
                  <c:v>25477</c:v>
                </c:pt>
                <c:pt idx="57">
                  <c:v>25508</c:v>
                </c:pt>
                <c:pt idx="58">
                  <c:v>25538</c:v>
                </c:pt>
                <c:pt idx="59">
                  <c:v>25569</c:v>
                </c:pt>
                <c:pt idx="60">
                  <c:v>25600</c:v>
                </c:pt>
                <c:pt idx="61">
                  <c:v>25628</c:v>
                </c:pt>
                <c:pt idx="62">
                  <c:v>25659</c:v>
                </c:pt>
                <c:pt idx="63">
                  <c:v>25689</c:v>
                </c:pt>
                <c:pt idx="64">
                  <c:v>25720</c:v>
                </c:pt>
                <c:pt idx="65">
                  <c:v>25750</c:v>
                </c:pt>
                <c:pt idx="66">
                  <c:v>25781</c:v>
                </c:pt>
                <c:pt idx="67">
                  <c:v>25812</c:v>
                </c:pt>
                <c:pt idx="68">
                  <c:v>25842</c:v>
                </c:pt>
                <c:pt idx="69">
                  <c:v>25873</c:v>
                </c:pt>
                <c:pt idx="70">
                  <c:v>25903</c:v>
                </c:pt>
                <c:pt idx="71">
                  <c:v>25934</c:v>
                </c:pt>
                <c:pt idx="72">
                  <c:v>25965</c:v>
                </c:pt>
                <c:pt idx="73">
                  <c:v>25993</c:v>
                </c:pt>
                <c:pt idx="74">
                  <c:v>26024</c:v>
                </c:pt>
                <c:pt idx="75">
                  <c:v>26054</c:v>
                </c:pt>
                <c:pt idx="76">
                  <c:v>26085</c:v>
                </c:pt>
                <c:pt idx="77">
                  <c:v>26115</c:v>
                </c:pt>
                <c:pt idx="78">
                  <c:v>26146</c:v>
                </c:pt>
                <c:pt idx="79">
                  <c:v>26177</c:v>
                </c:pt>
                <c:pt idx="80">
                  <c:v>26207</c:v>
                </c:pt>
                <c:pt idx="81">
                  <c:v>26238</c:v>
                </c:pt>
                <c:pt idx="82">
                  <c:v>26268</c:v>
                </c:pt>
                <c:pt idx="83">
                  <c:v>26299</c:v>
                </c:pt>
                <c:pt idx="84">
                  <c:v>26330</c:v>
                </c:pt>
                <c:pt idx="85">
                  <c:v>26359</c:v>
                </c:pt>
                <c:pt idx="86">
                  <c:v>26390</c:v>
                </c:pt>
                <c:pt idx="87">
                  <c:v>26420</c:v>
                </c:pt>
                <c:pt idx="88">
                  <c:v>26451</c:v>
                </c:pt>
                <c:pt idx="89">
                  <c:v>26481</c:v>
                </c:pt>
                <c:pt idx="90">
                  <c:v>26512</c:v>
                </c:pt>
                <c:pt idx="91">
                  <c:v>26543</c:v>
                </c:pt>
                <c:pt idx="92">
                  <c:v>26573</c:v>
                </c:pt>
                <c:pt idx="93">
                  <c:v>26604</c:v>
                </c:pt>
                <c:pt idx="94">
                  <c:v>26634</c:v>
                </c:pt>
                <c:pt idx="95">
                  <c:v>26665</c:v>
                </c:pt>
                <c:pt idx="96">
                  <c:v>26696</c:v>
                </c:pt>
                <c:pt idx="97">
                  <c:v>26724</c:v>
                </c:pt>
                <c:pt idx="98">
                  <c:v>26755</c:v>
                </c:pt>
                <c:pt idx="99">
                  <c:v>26785</c:v>
                </c:pt>
                <c:pt idx="100">
                  <c:v>26816</c:v>
                </c:pt>
                <c:pt idx="101">
                  <c:v>26846</c:v>
                </c:pt>
                <c:pt idx="102">
                  <c:v>26877</c:v>
                </c:pt>
                <c:pt idx="103">
                  <c:v>26908</c:v>
                </c:pt>
                <c:pt idx="104">
                  <c:v>26938</c:v>
                </c:pt>
                <c:pt idx="105">
                  <c:v>26969</c:v>
                </c:pt>
                <c:pt idx="106">
                  <c:v>26999</c:v>
                </c:pt>
                <c:pt idx="107">
                  <c:v>27030</c:v>
                </c:pt>
                <c:pt idx="108">
                  <c:v>27061</c:v>
                </c:pt>
                <c:pt idx="109">
                  <c:v>27089</c:v>
                </c:pt>
                <c:pt idx="110">
                  <c:v>27120</c:v>
                </c:pt>
                <c:pt idx="111">
                  <c:v>27150</c:v>
                </c:pt>
                <c:pt idx="112">
                  <c:v>27181</c:v>
                </c:pt>
                <c:pt idx="113">
                  <c:v>27211</c:v>
                </c:pt>
                <c:pt idx="114">
                  <c:v>27242</c:v>
                </c:pt>
                <c:pt idx="115">
                  <c:v>27273</c:v>
                </c:pt>
                <c:pt idx="116">
                  <c:v>27303</c:v>
                </c:pt>
                <c:pt idx="117">
                  <c:v>27334</c:v>
                </c:pt>
                <c:pt idx="118">
                  <c:v>27364</c:v>
                </c:pt>
                <c:pt idx="119">
                  <c:v>27395</c:v>
                </c:pt>
                <c:pt idx="120">
                  <c:v>27426</c:v>
                </c:pt>
                <c:pt idx="121">
                  <c:v>27454</c:v>
                </c:pt>
                <c:pt idx="122">
                  <c:v>27485</c:v>
                </c:pt>
                <c:pt idx="123">
                  <c:v>27515</c:v>
                </c:pt>
                <c:pt idx="124">
                  <c:v>27546</c:v>
                </c:pt>
                <c:pt idx="125">
                  <c:v>27576</c:v>
                </c:pt>
                <c:pt idx="126">
                  <c:v>27607</c:v>
                </c:pt>
                <c:pt idx="127">
                  <c:v>27638</c:v>
                </c:pt>
                <c:pt idx="128">
                  <c:v>27668</c:v>
                </c:pt>
                <c:pt idx="129">
                  <c:v>27699</c:v>
                </c:pt>
                <c:pt idx="130">
                  <c:v>27729</c:v>
                </c:pt>
                <c:pt idx="131">
                  <c:v>27760</c:v>
                </c:pt>
                <c:pt idx="132">
                  <c:v>27791</c:v>
                </c:pt>
                <c:pt idx="133">
                  <c:v>27820</c:v>
                </c:pt>
                <c:pt idx="134">
                  <c:v>27851</c:v>
                </c:pt>
                <c:pt idx="135">
                  <c:v>27881</c:v>
                </c:pt>
                <c:pt idx="136">
                  <c:v>27912</c:v>
                </c:pt>
                <c:pt idx="137">
                  <c:v>27942</c:v>
                </c:pt>
                <c:pt idx="138">
                  <c:v>27973</c:v>
                </c:pt>
                <c:pt idx="139">
                  <c:v>28004</c:v>
                </c:pt>
                <c:pt idx="140">
                  <c:v>28034</c:v>
                </c:pt>
                <c:pt idx="141">
                  <c:v>28065</c:v>
                </c:pt>
                <c:pt idx="142">
                  <c:v>28095</c:v>
                </c:pt>
                <c:pt idx="143">
                  <c:v>28126</c:v>
                </c:pt>
                <c:pt idx="144">
                  <c:v>28157</c:v>
                </c:pt>
                <c:pt idx="145">
                  <c:v>28185</c:v>
                </c:pt>
                <c:pt idx="146">
                  <c:v>28216</c:v>
                </c:pt>
                <c:pt idx="147">
                  <c:v>28246</c:v>
                </c:pt>
                <c:pt idx="148">
                  <c:v>28277</c:v>
                </c:pt>
                <c:pt idx="149">
                  <c:v>28307</c:v>
                </c:pt>
                <c:pt idx="150">
                  <c:v>28338</c:v>
                </c:pt>
                <c:pt idx="151">
                  <c:v>28369</c:v>
                </c:pt>
                <c:pt idx="152">
                  <c:v>28399</c:v>
                </c:pt>
                <c:pt idx="153">
                  <c:v>28430</c:v>
                </c:pt>
                <c:pt idx="154">
                  <c:v>28460</c:v>
                </c:pt>
                <c:pt idx="155">
                  <c:v>28491</c:v>
                </c:pt>
                <c:pt idx="156">
                  <c:v>28522</c:v>
                </c:pt>
                <c:pt idx="157">
                  <c:v>28550</c:v>
                </c:pt>
                <c:pt idx="158">
                  <c:v>28581</c:v>
                </c:pt>
                <c:pt idx="159">
                  <c:v>28611</c:v>
                </c:pt>
                <c:pt idx="160">
                  <c:v>28642</c:v>
                </c:pt>
                <c:pt idx="161">
                  <c:v>28672</c:v>
                </c:pt>
                <c:pt idx="162">
                  <c:v>28703</c:v>
                </c:pt>
                <c:pt idx="163">
                  <c:v>28734</c:v>
                </c:pt>
                <c:pt idx="164">
                  <c:v>28764</c:v>
                </c:pt>
                <c:pt idx="165">
                  <c:v>28795</c:v>
                </c:pt>
                <c:pt idx="166">
                  <c:v>28825</c:v>
                </c:pt>
                <c:pt idx="167">
                  <c:v>28856</c:v>
                </c:pt>
                <c:pt idx="168">
                  <c:v>28887</c:v>
                </c:pt>
                <c:pt idx="169">
                  <c:v>28915</c:v>
                </c:pt>
                <c:pt idx="170">
                  <c:v>28946</c:v>
                </c:pt>
                <c:pt idx="171">
                  <c:v>28976</c:v>
                </c:pt>
                <c:pt idx="172">
                  <c:v>29007</c:v>
                </c:pt>
                <c:pt idx="173">
                  <c:v>29037</c:v>
                </c:pt>
                <c:pt idx="174">
                  <c:v>29068</c:v>
                </c:pt>
                <c:pt idx="175">
                  <c:v>29099</c:v>
                </c:pt>
                <c:pt idx="176">
                  <c:v>29129</c:v>
                </c:pt>
                <c:pt idx="177">
                  <c:v>29160</c:v>
                </c:pt>
                <c:pt idx="178">
                  <c:v>29190</c:v>
                </c:pt>
                <c:pt idx="179">
                  <c:v>29221</c:v>
                </c:pt>
                <c:pt idx="180">
                  <c:v>29252</c:v>
                </c:pt>
                <c:pt idx="181">
                  <c:v>29281</c:v>
                </c:pt>
                <c:pt idx="182">
                  <c:v>29312</c:v>
                </c:pt>
                <c:pt idx="183">
                  <c:v>29342</c:v>
                </c:pt>
                <c:pt idx="184">
                  <c:v>29373</c:v>
                </c:pt>
                <c:pt idx="185">
                  <c:v>29403</c:v>
                </c:pt>
                <c:pt idx="186">
                  <c:v>29434</c:v>
                </c:pt>
                <c:pt idx="187">
                  <c:v>29465</c:v>
                </c:pt>
                <c:pt idx="188">
                  <c:v>29495</c:v>
                </c:pt>
                <c:pt idx="189">
                  <c:v>29526</c:v>
                </c:pt>
                <c:pt idx="190">
                  <c:v>29556</c:v>
                </c:pt>
                <c:pt idx="191">
                  <c:v>29587</c:v>
                </c:pt>
                <c:pt idx="192">
                  <c:v>29618</c:v>
                </c:pt>
                <c:pt idx="193">
                  <c:v>29646</c:v>
                </c:pt>
                <c:pt idx="194">
                  <c:v>29677</c:v>
                </c:pt>
                <c:pt idx="195">
                  <c:v>29707</c:v>
                </c:pt>
                <c:pt idx="196">
                  <c:v>29738</c:v>
                </c:pt>
                <c:pt idx="197">
                  <c:v>29768</c:v>
                </c:pt>
                <c:pt idx="198">
                  <c:v>29799</c:v>
                </c:pt>
                <c:pt idx="199">
                  <c:v>29830</c:v>
                </c:pt>
                <c:pt idx="200">
                  <c:v>29860</c:v>
                </c:pt>
                <c:pt idx="201">
                  <c:v>29891</c:v>
                </c:pt>
                <c:pt idx="202">
                  <c:v>29921</c:v>
                </c:pt>
                <c:pt idx="203">
                  <c:v>29952</c:v>
                </c:pt>
                <c:pt idx="204">
                  <c:v>29983</c:v>
                </c:pt>
                <c:pt idx="205">
                  <c:v>30011</c:v>
                </c:pt>
                <c:pt idx="206">
                  <c:v>30042</c:v>
                </c:pt>
                <c:pt idx="207">
                  <c:v>30072</c:v>
                </c:pt>
                <c:pt idx="208">
                  <c:v>30103</c:v>
                </c:pt>
                <c:pt idx="209">
                  <c:v>30133</c:v>
                </c:pt>
                <c:pt idx="210">
                  <c:v>30164</c:v>
                </c:pt>
                <c:pt idx="211">
                  <c:v>30195</c:v>
                </c:pt>
                <c:pt idx="212">
                  <c:v>30225</c:v>
                </c:pt>
                <c:pt idx="213">
                  <c:v>30256</c:v>
                </c:pt>
                <c:pt idx="214">
                  <c:v>30286</c:v>
                </c:pt>
                <c:pt idx="215">
                  <c:v>30317</c:v>
                </c:pt>
                <c:pt idx="216">
                  <c:v>30348</c:v>
                </c:pt>
                <c:pt idx="217">
                  <c:v>30376</c:v>
                </c:pt>
                <c:pt idx="218">
                  <c:v>30407</c:v>
                </c:pt>
                <c:pt idx="219">
                  <c:v>30437</c:v>
                </c:pt>
                <c:pt idx="220">
                  <c:v>30468</c:v>
                </c:pt>
                <c:pt idx="221">
                  <c:v>30498</c:v>
                </c:pt>
                <c:pt idx="222">
                  <c:v>30529</c:v>
                </c:pt>
                <c:pt idx="223">
                  <c:v>30560</c:v>
                </c:pt>
                <c:pt idx="224">
                  <c:v>30590</c:v>
                </c:pt>
                <c:pt idx="225">
                  <c:v>30621</c:v>
                </c:pt>
                <c:pt idx="226">
                  <c:v>30651</c:v>
                </c:pt>
                <c:pt idx="227">
                  <c:v>30682</c:v>
                </c:pt>
                <c:pt idx="228">
                  <c:v>30713</c:v>
                </c:pt>
                <c:pt idx="229">
                  <c:v>30742</c:v>
                </c:pt>
                <c:pt idx="230">
                  <c:v>30773</c:v>
                </c:pt>
                <c:pt idx="231">
                  <c:v>30803</c:v>
                </c:pt>
                <c:pt idx="232">
                  <c:v>30834</c:v>
                </c:pt>
                <c:pt idx="233">
                  <c:v>30864</c:v>
                </c:pt>
                <c:pt idx="234">
                  <c:v>30895</c:v>
                </c:pt>
                <c:pt idx="235">
                  <c:v>30926</c:v>
                </c:pt>
                <c:pt idx="236">
                  <c:v>30956</c:v>
                </c:pt>
                <c:pt idx="237">
                  <c:v>30987</c:v>
                </c:pt>
                <c:pt idx="238">
                  <c:v>31017</c:v>
                </c:pt>
                <c:pt idx="239">
                  <c:v>31048</c:v>
                </c:pt>
                <c:pt idx="240">
                  <c:v>31079</c:v>
                </c:pt>
                <c:pt idx="241">
                  <c:v>31107</c:v>
                </c:pt>
                <c:pt idx="242">
                  <c:v>31138</c:v>
                </c:pt>
                <c:pt idx="243">
                  <c:v>31168</c:v>
                </c:pt>
                <c:pt idx="244">
                  <c:v>31199</c:v>
                </c:pt>
                <c:pt idx="245">
                  <c:v>31229</c:v>
                </c:pt>
                <c:pt idx="246">
                  <c:v>31260</c:v>
                </c:pt>
                <c:pt idx="247">
                  <c:v>31291</c:v>
                </c:pt>
                <c:pt idx="248">
                  <c:v>31321</c:v>
                </c:pt>
                <c:pt idx="249">
                  <c:v>31352</c:v>
                </c:pt>
                <c:pt idx="250">
                  <c:v>31382</c:v>
                </c:pt>
                <c:pt idx="251">
                  <c:v>31413</c:v>
                </c:pt>
                <c:pt idx="252">
                  <c:v>31444</c:v>
                </c:pt>
                <c:pt idx="253">
                  <c:v>31472</c:v>
                </c:pt>
                <c:pt idx="254">
                  <c:v>31503</c:v>
                </c:pt>
                <c:pt idx="255">
                  <c:v>31533</c:v>
                </c:pt>
                <c:pt idx="256">
                  <c:v>31564</c:v>
                </c:pt>
                <c:pt idx="257">
                  <c:v>31594</c:v>
                </c:pt>
                <c:pt idx="258">
                  <c:v>31625</c:v>
                </c:pt>
                <c:pt idx="259">
                  <c:v>31656</c:v>
                </c:pt>
                <c:pt idx="260">
                  <c:v>31686</c:v>
                </c:pt>
                <c:pt idx="261">
                  <c:v>31717</c:v>
                </c:pt>
                <c:pt idx="262">
                  <c:v>31747</c:v>
                </c:pt>
                <c:pt idx="263">
                  <c:v>31778</c:v>
                </c:pt>
                <c:pt idx="264">
                  <c:v>31809</c:v>
                </c:pt>
                <c:pt idx="265">
                  <c:v>31837</c:v>
                </c:pt>
                <c:pt idx="266">
                  <c:v>31868</c:v>
                </c:pt>
                <c:pt idx="267">
                  <c:v>31898</c:v>
                </c:pt>
                <c:pt idx="268">
                  <c:v>31929</c:v>
                </c:pt>
                <c:pt idx="269">
                  <c:v>31959</c:v>
                </c:pt>
                <c:pt idx="270">
                  <c:v>31990</c:v>
                </c:pt>
                <c:pt idx="271">
                  <c:v>32021</c:v>
                </c:pt>
                <c:pt idx="272">
                  <c:v>32051</c:v>
                </c:pt>
                <c:pt idx="273">
                  <c:v>32082</c:v>
                </c:pt>
                <c:pt idx="274">
                  <c:v>32112</c:v>
                </c:pt>
                <c:pt idx="275">
                  <c:v>32143</c:v>
                </c:pt>
                <c:pt idx="276">
                  <c:v>32174</c:v>
                </c:pt>
                <c:pt idx="277">
                  <c:v>32203</c:v>
                </c:pt>
                <c:pt idx="278">
                  <c:v>32234</c:v>
                </c:pt>
                <c:pt idx="279">
                  <c:v>32264</c:v>
                </c:pt>
                <c:pt idx="280">
                  <c:v>32295</c:v>
                </c:pt>
                <c:pt idx="281">
                  <c:v>32325</c:v>
                </c:pt>
                <c:pt idx="282">
                  <c:v>32356</c:v>
                </c:pt>
                <c:pt idx="283">
                  <c:v>32387</c:v>
                </c:pt>
                <c:pt idx="284">
                  <c:v>32417</c:v>
                </c:pt>
                <c:pt idx="285">
                  <c:v>32448</c:v>
                </c:pt>
                <c:pt idx="286">
                  <c:v>32478</c:v>
                </c:pt>
                <c:pt idx="287">
                  <c:v>32509</c:v>
                </c:pt>
                <c:pt idx="288">
                  <c:v>32540</c:v>
                </c:pt>
                <c:pt idx="289">
                  <c:v>32568</c:v>
                </c:pt>
                <c:pt idx="290">
                  <c:v>32599</c:v>
                </c:pt>
                <c:pt idx="291">
                  <c:v>32629</c:v>
                </c:pt>
                <c:pt idx="292">
                  <c:v>32660</c:v>
                </c:pt>
                <c:pt idx="293">
                  <c:v>32690</c:v>
                </c:pt>
                <c:pt idx="294">
                  <c:v>32721</c:v>
                </c:pt>
                <c:pt idx="295">
                  <c:v>32752</c:v>
                </c:pt>
                <c:pt idx="296">
                  <c:v>32782</c:v>
                </c:pt>
                <c:pt idx="297">
                  <c:v>32813</c:v>
                </c:pt>
                <c:pt idx="298">
                  <c:v>32843</c:v>
                </c:pt>
                <c:pt idx="299">
                  <c:v>32874</c:v>
                </c:pt>
                <c:pt idx="300">
                  <c:v>32905</c:v>
                </c:pt>
                <c:pt idx="301">
                  <c:v>32933</c:v>
                </c:pt>
                <c:pt idx="302">
                  <c:v>32964</c:v>
                </c:pt>
                <c:pt idx="303">
                  <c:v>32994</c:v>
                </c:pt>
                <c:pt idx="304">
                  <c:v>33025</c:v>
                </c:pt>
                <c:pt idx="305">
                  <c:v>33055</c:v>
                </c:pt>
                <c:pt idx="306">
                  <c:v>33086</c:v>
                </c:pt>
                <c:pt idx="307">
                  <c:v>33117</c:v>
                </c:pt>
                <c:pt idx="308">
                  <c:v>33147</c:v>
                </c:pt>
                <c:pt idx="309">
                  <c:v>33178</c:v>
                </c:pt>
                <c:pt idx="310">
                  <c:v>33208</c:v>
                </c:pt>
                <c:pt idx="311">
                  <c:v>33239</c:v>
                </c:pt>
                <c:pt idx="312">
                  <c:v>33270</c:v>
                </c:pt>
                <c:pt idx="313">
                  <c:v>33298</c:v>
                </c:pt>
                <c:pt idx="314">
                  <c:v>33329</c:v>
                </c:pt>
                <c:pt idx="315">
                  <c:v>33359</c:v>
                </c:pt>
                <c:pt idx="316">
                  <c:v>33390</c:v>
                </c:pt>
                <c:pt idx="317">
                  <c:v>33420</c:v>
                </c:pt>
                <c:pt idx="318">
                  <c:v>33451</c:v>
                </c:pt>
                <c:pt idx="319">
                  <c:v>33482</c:v>
                </c:pt>
                <c:pt idx="320">
                  <c:v>33512</c:v>
                </c:pt>
                <c:pt idx="321">
                  <c:v>33543</c:v>
                </c:pt>
                <c:pt idx="322">
                  <c:v>33573</c:v>
                </c:pt>
                <c:pt idx="323">
                  <c:v>33604</c:v>
                </c:pt>
                <c:pt idx="324">
                  <c:v>33635</c:v>
                </c:pt>
                <c:pt idx="325">
                  <c:v>33664</c:v>
                </c:pt>
                <c:pt idx="326">
                  <c:v>33695</c:v>
                </c:pt>
                <c:pt idx="327">
                  <c:v>33725</c:v>
                </c:pt>
                <c:pt idx="328">
                  <c:v>33756</c:v>
                </c:pt>
                <c:pt idx="329">
                  <c:v>33786</c:v>
                </c:pt>
                <c:pt idx="330">
                  <c:v>33817</c:v>
                </c:pt>
                <c:pt idx="331">
                  <c:v>33848</c:v>
                </c:pt>
                <c:pt idx="332">
                  <c:v>33878</c:v>
                </c:pt>
                <c:pt idx="333">
                  <c:v>33909</c:v>
                </c:pt>
                <c:pt idx="334">
                  <c:v>33939</c:v>
                </c:pt>
                <c:pt idx="335">
                  <c:v>33970</c:v>
                </c:pt>
                <c:pt idx="336">
                  <c:v>34001</c:v>
                </c:pt>
                <c:pt idx="337">
                  <c:v>34029</c:v>
                </c:pt>
                <c:pt idx="338">
                  <c:v>34060</c:v>
                </c:pt>
                <c:pt idx="339">
                  <c:v>34090</c:v>
                </c:pt>
                <c:pt idx="340">
                  <c:v>34121</c:v>
                </c:pt>
                <c:pt idx="341">
                  <c:v>34151</c:v>
                </c:pt>
                <c:pt idx="342">
                  <c:v>34182</c:v>
                </c:pt>
                <c:pt idx="343">
                  <c:v>34213</c:v>
                </c:pt>
                <c:pt idx="344">
                  <c:v>34243</c:v>
                </c:pt>
                <c:pt idx="345">
                  <c:v>34274</c:v>
                </c:pt>
                <c:pt idx="346">
                  <c:v>34304</c:v>
                </c:pt>
                <c:pt idx="347">
                  <c:v>34335</c:v>
                </c:pt>
                <c:pt idx="348">
                  <c:v>34366</c:v>
                </c:pt>
                <c:pt idx="349">
                  <c:v>34394</c:v>
                </c:pt>
                <c:pt idx="350">
                  <c:v>34425</c:v>
                </c:pt>
                <c:pt idx="351">
                  <c:v>34455</c:v>
                </c:pt>
                <c:pt idx="352">
                  <c:v>34486</c:v>
                </c:pt>
                <c:pt idx="353">
                  <c:v>34516</c:v>
                </c:pt>
                <c:pt idx="354">
                  <c:v>34547</c:v>
                </c:pt>
                <c:pt idx="355">
                  <c:v>34578</c:v>
                </c:pt>
                <c:pt idx="356">
                  <c:v>34608</c:v>
                </c:pt>
                <c:pt idx="357">
                  <c:v>34639</c:v>
                </c:pt>
                <c:pt idx="358">
                  <c:v>34669</c:v>
                </c:pt>
                <c:pt idx="359">
                  <c:v>34700</c:v>
                </c:pt>
                <c:pt idx="360">
                  <c:v>34731</c:v>
                </c:pt>
                <c:pt idx="361">
                  <c:v>34759</c:v>
                </c:pt>
                <c:pt idx="362">
                  <c:v>34790</c:v>
                </c:pt>
                <c:pt idx="363">
                  <c:v>34820</c:v>
                </c:pt>
                <c:pt idx="364">
                  <c:v>34851</c:v>
                </c:pt>
                <c:pt idx="365">
                  <c:v>34881</c:v>
                </c:pt>
                <c:pt idx="366">
                  <c:v>34912</c:v>
                </c:pt>
                <c:pt idx="367">
                  <c:v>34943</c:v>
                </c:pt>
                <c:pt idx="368">
                  <c:v>34973</c:v>
                </c:pt>
                <c:pt idx="369">
                  <c:v>35004</c:v>
                </c:pt>
                <c:pt idx="370">
                  <c:v>35034</c:v>
                </c:pt>
                <c:pt idx="371">
                  <c:v>35065</c:v>
                </c:pt>
                <c:pt idx="372">
                  <c:v>35096</c:v>
                </c:pt>
                <c:pt idx="373">
                  <c:v>35125</c:v>
                </c:pt>
                <c:pt idx="374">
                  <c:v>35156</c:v>
                </c:pt>
                <c:pt idx="375">
                  <c:v>35186</c:v>
                </c:pt>
                <c:pt idx="376">
                  <c:v>35217</c:v>
                </c:pt>
                <c:pt idx="377">
                  <c:v>35247</c:v>
                </c:pt>
                <c:pt idx="378">
                  <c:v>35278</c:v>
                </c:pt>
                <c:pt idx="379">
                  <c:v>35309</c:v>
                </c:pt>
                <c:pt idx="380">
                  <c:v>35339</c:v>
                </c:pt>
                <c:pt idx="381">
                  <c:v>35370</c:v>
                </c:pt>
                <c:pt idx="382">
                  <c:v>35400</c:v>
                </c:pt>
                <c:pt idx="383">
                  <c:v>35431</c:v>
                </c:pt>
                <c:pt idx="384">
                  <c:v>35462</c:v>
                </c:pt>
                <c:pt idx="385">
                  <c:v>35490</c:v>
                </c:pt>
                <c:pt idx="386">
                  <c:v>35521</c:v>
                </c:pt>
                <c:pt idx="387">
                  <c:v>35551</c:v>
                </c:pt>
                <c:pt idx="388">
                  <c:v>35582</c:v>
                </c:pt>
                <c:pt idx="389">
                  <c:v>35612</c:v>
                </c:pt>
                <c:pt idx="390">
                  <c:v>35643</c:v>
                </c:pt>
                <c:pt idx="391">
                  <c:v>35674</c:v>
                </c:pt>
                <c:pt idx="392">
                  <c:v>35704</c:v>
                </c:pt>
                <c:pt idx="393">
                  <c:v>35735</c:v>
                </c:pt>
                <c:pt idx="394">
                  <c:v>35765</c:v>
                </c:pt>
                <c:pt idx="395">
                  <c:v>35796</c:v>
                </c:pt>
                <c:pt idx="396">
                  <c:v>35827</c:v>
                </c:pt>
                <c:pt idx="397">
                  <c:v>35855</c:v>
                </c:pt>
                <c:pt idx="398">
                  <c:v>35886</c:v>
                </c:pt>
                <c:pt idx="399">
                  <c:v>35916</c:v>
                </c:pt>
                <c:pt idx="400">
                  <c:v>35947</c:v>
                </c:pt>
                <c:pt idx="401">
                  <c:v>35977</c:v>
                </c:pt>
                <c:pt idx="402">
                  <c:v>36008</c:v>
                </c:pt>
                <c:pt idx="403">
                  <c:v>36039</c:v>
                </c:pt>
                <c:pt idx="404">
                  <c:v>36069</c:v>
                </c:pt>
                <c:pt idx="405">
                  <c:v>36100</c:v>
                </c:pt>
                <c:pt idx="406">
                  <c:v>36130</c:v>
                </c:pt>
                <c:pt idx="407">
                  <c:v>36161</c:v>
                </c:pt>
                <c:pt idx="408">
                  <c:v>36192</c:v>
                </c:pt>
                <c:pt idx="409">
                  <c:v>36220</c:v>
                </c:pt>
                <c:pt idx="410">
                  <c:v>36251</c:v>
                </c:pt>
                <c:pt idx="411">
                  <c:v>36281</c:v>
                </c:pt>
                <c:pt idx="412">
                  <c:v>36312</c:v>
                </c:pt>
                <c:pt idx="413">
                  <c:v>36342</c:v>
                </c:pt>
                <c:pt idx="414">
                  <c:v>36373</c:v>
                </c:pt>
                <c:pt idx="415">
                  <c:v>36404</c:v>
                </c:pt>
                <c:pt idx="416">
                  <c:v>36434</c:v>
                </c:pt>
                <c:pt idx="417">
                  <c:v>36465</c:v>
                </c:pt>
                <c:pt idx="418">
                  <c:v>36495</c:v>
                </c:pt>
                <c:pt idx="419">
                  <c:v>36526</c:v>
                </c:pt>
                <c:pt idx="420">
                  <c:v>36557</c:v>
                </c:pt>
                <c:pt idx="421">
                  <c:v>36586</c:v>
                </c:pt>
                <c:pt idx="422">
                  <c:v>36617</c:v>
                </c:pt>
                <c:pt idx="423">
                  <c:v>36647</c:v>
                </c:pt>
                <c:pt idx="424">
                  <c:v>36678</c:v>
                </c:pt>
                <c:pt idx="425">
                  <c:v>36708</c:v>
                </c:pt>
                <c:pt idx="426">
                  <c:v>36739</c:v>
                </c:pt>
                <c:pt idx="427">
                  <c:v>36770</c:v>
                </c:pt>
                <c:pt idx="428">
                  <c:v>36800</c:v>
                </c:pt>
                <c:pt idx="429">
                  <c:v>36831</c:v>
                </c:pt>
                <c:pt idx="430">
                  <c:v>36861</c:v>
                </c:pt>
                <c:pt idx="431">
                  <c:v>36892</c:v>
                </c:pt>
                <c:pt idx="432">
                  <c:v>36923</c:v>
                </c:pt>
                <c:pt idx="433">
                  <c:v>36951</c:v>
                </c:pt>
                <c:pt idx="434">
                  <c:v>36982</c:v>
                </c:pt>
                <c:pt idx="435">
                  <c:v>37012</c:v>
                </c:pt>
                <c:pt idx="436">
                  <c:v>37043</c:v>
                </c:pt>
                <c:pt idx="437">
                  <c:v>37073</c:v>
                </c:pt>
                <c:pt idx="438">
                  <c:v>37104</c:v>
                </c:pt>
                <c:pt idx="439">
                  <c:v>37135</c:v>
                </c:pt>
                <c:pt idx="440">
                  <c:v>37165</c:v>
                </c:pt>
                <c:pt idx="441">
                  <c:v>37196</c:v>
                </c:pt>
                <c:pt idx="442">
                  <c:v>37226</c:v>
                </c:pt>
                <c:pt idx="443">
                  <c:v>37257</c:v>
                </c:pt>
                <c:pt idx="444">
                  <c:v>37288</c:v>
                </c:pt>
                <c:pt idx="445">
                  <c:v>37316</c:v>
                </c:pt>
                <c:pt idx="446">
                  <c:v>37347</c:v>
                </c:pt>
                <c:pt idx="447">
                  <c:v>37377</c:v>
                </c:pt>
                <c:pt idx="448">
                  <c:v>37408</c:v>
                </c:pt>
                <c:pt idx="449">
                  <c:v>37438</c:v>
                </c:pt>
                <c:pt idx="450">
                  <c:v>37469</c:v>
                </c:pt>
                <c:pt idx="451">
                  <c:v>37500</c:v>
                </c:pt>
                <c:pt idx="452">
                  <c:v>37530</c:v>
                </c:pt>
                <c:pt idx="453">
                  <c:v>37561</c:v>
                </c:pt>
                <c:pt idx="454">
                  <c:v>37591</c:v>
                </c:pt>
                <c:pt idx="455">
                  <c:v>37622</c:v>
                </c:pt>
                <c:pt idx="456">
                  <c:v>37653</c:v>
                </c:pt>
                <c:pt idx="457">
                  <c:v>37681</c:v>
                </c:pt>
                <c:pt idx="458">
                  <c:v>37712</c:v>
                </c:pt>
                <c:pt idx="459">
                  <c:v>37742</c:v>
                </c:pt>
                <c:pt idx="460">
                  <c:v>37773</c:v>
                </c:pt>
                <c:pt idx="461">
                  <c:v>37803</c:v>
                </c:pt>
                <c:pt idx="462">
                  <c:v>37834</c:v>
                </c:pt>
                <c:pt idx="463">
                  <c:v>37865</c:v>
                </c:pt>
                <c:pt idx="464">
                  <c:v>37895</c:v>
                </c:pt>
                <c:pt idx="465">
                  <c:v>37926</c:v>
                </c:pt>
                <c:pt idx="466">
                  <c:v>37956</c:v>
                </c:pt>
                <c:pt idx="467">
                  <c:v>37987</c:v>
                </c:pt>
                <c:pt idx="468">
                  <c:v>38018</c:v>
                </c:pt>
                <c:pt idx="469">
                  <c:v>38047</c:v>
                </c:pt>
                <c:pt idx="470">
                  <c:v>38078</c:v>
                </c:pt>
                <c:pt idx="471">
                  <c:v>38108</c:v>
                </c:pt>
                <c:pt idx="472">
                  <c:v>38139</c:v>
                </c:pt>
                <c:pt idx="473">
                  <c:v>38169</c:v>
                </c:pt>
                <c:pt idx="474">
                  <c:v>38200</c:v>
                </c:pt>
                <c:pt idx="475">
                  <c:v>38231</c:v>
                </c:pt>
                <c:pt idx="476">
                  <c:v>38261</c:v>
                </c:pt>
                <c:pt idx="477">
                  <c:v>38292</c:v>
                </c:pt>
                <c:pt idx="478">
                  <c:v>38322</c:v>
                </c:pt>
                <c:pt idx="479">
                  <c:v>38353</c:v>
                </c:pt>
                <c:pt idx="480">
                  <c:v>38384</c:v>
                </c:pt>
                <c:pt idx="481">
                  <c:v>38412</c:v>
                </c:pt>
                <c:pt idx="482">
                  <c:v>38443</c:v>
                </c:pt>
                <c:pt idx="483">
                  <c:v>38473</c:v>
                </c:pt>
                <c:pt idx="484">
                  <c:v>38504</c:v>
                </c:pt>
                <c:pt idx="485">
                  <c:v>38534</c:v>
                </c:pt>
                <c:pt idx="486">
                  <c:v>38565</c:v>
                </c:pt>
                <c:pt idx="487">
                  <c:v>38596</c:v>
                </c:pt>
                <c:pt idx="488">
                  <c:v>38626</c:v>
                </c:pt>
                <c:pt idx="489">
                  <c:v>38657</c:v>
                </c:pt>
                <c:pt idx="490">
                  <c:v>38687</c:v>
                </c:pt>
                <c:pt idx="491">
                  <c:v>38718</c:v>
                </c:pt>
                <c:pt idx="492">
                  <c:v>38749</c:v>
                </c:pt>
                <c:pt idx="493">
                  <c:v>38777</c:v>
                </c:pt>
                <c:pt idx="494">
                  <c:v>38808</c:v>
                </c:pt>
                <c:pt idx="495">
                  <c:v>38838</c:v>
                </c:pt>
                <c:pt idx="496">
                  <c:v>38869</c:v>
                </c:pt>
                <c:pt idx="497">
                  <c:v>38899</c:v>
                </c:pt>
                <c:pt idx="498">
                  <c:v>38930</c:v>
                </c:pt>
                <c:pt idx="499">
                  <c:v>38961</c:v>
                </c:pt>
                <c:pt idx="500">
                  <c:v>38991</c:v>
                </c:pt>
                <c:pt idx="501">
                  <c:v>39022</c:v>
                </c:pt>
                <c:pt idx="502">
                  <c:v>39052</c:v>
                </c:pt>
                <c:pt idx="503">
                  <c:v>39083</c:v>
                </c:pt>
                <c:pt idx="504">
                  <c:v>39114</c:v>
                </c:pt>
                <c:pt idx="505">
                  <c:v>39142</c:v>
                </c:pt>
                <c:pt idx="506">
                  <c:v>39173</c:v>
                </c:pt>
                <c:pt idx="507">
                  <c:v>39203</c:v>
                </c:pt>
                <c:pt idx="508">
                  <c:v>39234</c:v>
                </c:pt>
                <c:pt idx="509">
                  <c:v>39264</c:v>
                </c:pt>
                <c:pt idx="510">
                  <c:v>39295</c:v>
                </c:pt>
                <c:pt idx="511">
                  <c:v>39326</c:v>
                </c:pt>
                <c:pt idx="512">
                  <c:v>39356</c:v>
                </c:pt>
                <c:pt idx="513">
                  <c:v>39387</c:v>
                </c:pt>
                <c:pt idx="514">
                  <c:v>39417</c:v>
                </c:pt>
                <c:pt idx="515">
                  <c:v>39448</c:v>
                </c:pt>
                <c:pt idx="516">
                  <c:v>39479</c:v>
                </c:pt>
                <c:pt idx="517">
                  <c:v>39508</c:v>
                </c:pt>
                <c:pt idx="518">
                  <c:v>39539</c:v>
                </c:pt>
                <c:pt idx="519">
                  <c:v>39569</c:v>
                </c:pt>
                <c:pt idx="520">
                  <c:v>39600</c:v>
                </c:pt>
                <c:pt idx="521">
                  <c:v>39630</c:v>
                </c:pt>
                <c:pt idx="522">
                  <c:v>39661</c:v>
                </c:pt>
                <c:pt idx="523">
                  <c:v>39692</c:v>
                </c:pt>
                <c:pt idx="524">
                  <c:v>39722</c:v>
                </c:pt>
                <c:pt idx="525">
                  <c:v>39753</c:v>
                </c:pt>
                <c:pt idx="526">
                  <c:v>39783</c:v>
                </c:pt>
                <c:pt idx="527">
                  <c:v>39814</c:v>
                </c:pt>
                <c:pt idx="528">
                  <c:v>39845</c:v>
                </c:pt>
                <c:pt idx="529">
                  <c:v>39873</c:v>
                </c:pt>
                <c:pt idx="530">
                  <c:v>39904</c:v>
                </c:pt>
                <c:pt idx="531">
                  <c:v>39934</c:v>
                </c:pt>
                <c:pt idx="532">
                  <c:v>39965</c:v>
                </c:pt>
                <c:pt idx="533">
                  <c:v>39995</c:v>
                </c:pt>
                <c:pt idx="534">
                  <c:v>40026</c:v>
                </c:pt>
                <c:pt idx="535">
                  <c:v>40057</c:v>
                </c:pt>
                <c:pt idx="536">
                  <c:v>40087</c:v>
                </c:pt>
                <c:pt idx="537">
                  <c:v>40118</c:v>
                </c:pt>
                <c:pt idx="538">
                  <c:v>40148</c:v>
                </c:pt>
                <c:pt idx="539">
                  <c:v>40179</c:v>
                </c:pt>
                <c:pt idx="540">
                  <c:v>40210</c:v>
                </c:pt>
                <c:pt idx="541">
                  <c:v>40238</c:v>
                </c:pt>
                <c:pt idx="542">
                  <c:v>40269</c:v>
                </c:pt>
                <c:pt idx="543">
                  <c:v>40299</c:v>
                </c:pt>
                <c:pt idx="544">
                  <c:v>40330</c:v>
                </c:pt>
                <c:pt idx="545">
                  <c:v>40360</c:v>
                </c:pt>
                <c:pt idx="546">
                  <c:v>40391</c:v>
                </c:pt>
                <c:pt idx="547">
                  <c:v>40422</c:v>
                </c:pt>
                <c:pt idx="548">
                  <c:v>40452</c:v>
                </c:pt>
                <c:pt idx="549">
                  <c:v>40483</c:v>
                </c:pt>
                <c:pt idx="550">
                  <c:v>40513</c:v>
                </c:pt>
                <c:pt idx="551">
                  <c:v>40544</c:v>
                </c:pt>
                <c:pt idx="552">
                  <c:v>40575</c:v>
                </c:pt>
                <c:pt idx="553">
                  <c:v>40603</c:v>
                </c:pt>
                <c:pt idx="554">
                  <c:v>40634</c:v>
                </c:pt>
                <c:pt idx="555">
                  <c:v>40664</c:v>
                </c:pt>
                <c:pt idx="556">
                  <c:v>40695</c:v>
                </c:pt>
                <c:pt idx="557">
                  <c:v>40725</c:v>
                </c:pt>
                <c:pt idx="558">
                  <c:v>40756</c:v>
                </c:pt>
                <c:pt idx="559">
                  <c:v>40787</c:v>
                </c:pt>
                <c:pt idx="560">
                  <c:v>40817</c:v>
                </c:pt>
                <c:pt idx="561">
                  <c:v>40848</c:v>
                </c:pt>
                <c:pt idx="562">
                  <c:v>40878</c:v>
                </c:pt>
                <c:pt idx="563">
                  <c:v>40909</c:v>
                </c:pt>
                <c:pt idx="564">
                  <c:v>40940</c:v>
                </c:pt>
                <c:pt idx="565">
                  <c:v>40969</c:v>
                </c:pt>
                <c:pt idx="566">
                  <c:v>41000</c:v>
                </c:pt>
                <c:pt idx="567">
                  <c:v>41030</c:v>
                </c:pt>
                <c:pt idx="568">
                  <c:v>41061</c:v>
                </c:pt>
                <c:pt idx="569">
                  <c:v>41091</c:v>
                </c:pt>
                <c:pt idx="570">
                  <c:v>41122</c:v>
                </c:pt>
                <c:pt idx="571">
                  <c:v>41153</c:v>
                </c:pt>
                <c:pt idx="572">
                  <c:v>41183</c:v>
                </c:pt>
                <c:pt idx="573">
                  <c:v>41214</c:v>
                </c:pt>
                <c:pt idx="574">
                  <c:v>41244</c:v>
                </c:pt>
                <c:pt idx="575">
                  <c:v>41275</c:v>
                </c:pt>
                <c:pt idx="576">
                  <c:v>41306</c:v>
                </c:pt>
                <c:pt idx="577">
                  <c:v>41334</c:v>
                </c:pt>
                <c:pt idx="578">
                  <c:v>41365</c:v>
                </c:pt>
                <c:pt idx="579">
                  <c:v>41395</c:v>
                </c:pt>
                <c:pt idx="580">
                  <c:v>41426</c:v>
                </c:pt>
                <c:pt idx="581">
                  <c:v>41456</c:v>
                </c:pt>
                <c:pt idx="582">
                  <c:v>41487</c:v>
                </c:pt>
                <c:pt idx="583">
                  <c:v>41518</c:v>
                </c:pt>
                <c:pt idx="584">
                  <c:v>41548</c:v>
                </c:pt>
                <c:pt idx="585">
                  <c:v>41579</c:v>
                </c:pt>
                <c:pt idx="586">
                  <c:v>41609</c:v>
                </c:pt>
                <c:pt idx="587">
                  <c:v>41640</c:v>
                </c:pt>
                <c:pt idx="588">
                  <c:v>41671</c:v>
                </c:pt>
                <c:pt idx="589">
                  <c:v>41699</c:v>
                </c:pt>
                <c:pt idx="590">
                  <c:v>41730</c:v>
                </c:pt>
                <c:pt idx="591">
                  <c:v>41760</c:v>
                </c:pt>
                <c:pt idx="592">
                  <c:v>41791</c:v>
                </c:pt>
                <c:pt idx="593">
                  <c:v>41821</c:v>
                </c:pt>
                <c:pt idx="594">
                  <c:v>41852</c:v>
                </c:pt>
                <c:pt idx="595">
                  <c:v>41883</c:v>
                </c:pt>
                <c:pt idx="596">
                  <c:v>41913</c:v>
                </c:pt>
                <c:pt idx="597">
                  <c:v>41944</c:v>
                </c:pt>
                <c:pt idx="598">
                  <c:v>41974</c:v>
                </c:pt>
                <c:pt idx="599">
                  <c:v>42005</c:v>
                </c:pt>
                <c:pt idx="600">
                  <c:v>42036</c:v>
                </c:pt>
                <c:pt idx="601">
                  <c:v>42064</c:v>
                </c:pt>
                <c:pt idx="602">
                  <c:v>42095</c:v>
                </c:pt>
                <c:pt idx="603">
                  <c:v>42125</c:v>
                </c:pt>
                <c:pt idx="604">
                  <c:v>42156</c:v>
                </c:pt>
                <c:pt idx="605">
                  <c:v>42186</c:v>
                </c:pt>
                <c:pt idx="606">
                  <c:v>42217</c:v>
                </c:pt>
                <c:pt idx="607">
                  <c:v>42248</c:v>
                </c:pt>
                <c:pt idx="608">
                  <c:v>42278</c:v>
                </c:pt>
                <c:pt idx="609">
                  <c:v>42309</c:v>
                </c:pt>
                <c:pt idx="610">
                  <c:v>42339</c:v>
                </c:pt>
                <c:pt idx="611">
                  <c:v>42370</c:v>
                </c:pt>
                <c:pt idx="612">
                  <c:v>42401</c:v>
                </c:pt>
                <c:pt idx="613">
                  <c:v>42430</c:v>
                </c:pt>
                <c:pt idx="614">
                  <c:v>42461</c:v>
                </c:pt>
                <c:pt idx="615">
                  <c:v>42491</c:v>
                </c:pt>
                <c:pt idx="616">
                  <c:v>42522</c:v>
                </c:pt>
                <c:pt idx="617">
                  <c:v>42552</c:v>
                </c:pt>
                <c:pt idx="618">
                  <c:v>42583</c:v>
                </c:pt>
                <c:pt idx="619">
                  <c:v>42614</c:v>
                </c:pt>
                <c:pt idx="620">
                  <c:v>42644</c:v>
                </c:pt>
                <c:pt idx="621">
                  <c:v>42675</c:v>
                </c:pt>
                <c:pt idx="622">
                  <c:v>42705</c:v>
                </c:pt>
                <c:pt idx="623">
                  <c:v>42736</c:v>
                </c:pt>
                <c:pt idx="624">
                  <c:v>42767</c:v>
                </c:pt>
                <c:pt idx="625">
                  <c:v>42795</c:v>
                </c:pt>
                <c:pt idx="626">
                  <c:v>42826</c:v>
                </c:pt>
                <c:pt idx="627">
                  <c:v>42856</c:v>
                </c:pt>
                <c:pt idx="628">
                  <c:v>42887</c:v>
                </c:pt>
                <c:pt idx="629">
                  <c:v>42917</c:v>
                </c:pt>
                <c:pt idx="630">
                  <c:v>42948</c:v>
                </c:pt>
                <c:pt idx="631">
                  <c:v>42979</c:v>
                </c:pt>
                <c:pt idx="632">
                  <c:v>43009</c:v>
                </c:pt>
                <c:pt idx="633">
                  <c:v>43040</c:v>
                </c:pt>
                <c:pt idx="634">
                  <c:v>43070</c:v>
                </c:pt>
                <c:pt idx="635">
                  <c:v>43101</c:v>
                </c:pt>
                <c:pt idx="636">
                  <c:v>43132</c:v>
                </c:pt>
                <c:pt idx="637">
                  <c:v>43160</c:v>
                </c:pt>
                <c:pt idx="638">
                  <c:v>43191</c:v>
                </c:pt>
                <c:pt idx="639">
                  <c:v>43221</c:v>
                </c:pt>
                <c:pt idx="640">
                  <c:v>43252</c:v>
                </c:pt>
                <c:pt idx="641">
                  <c:v>43282</c:v>
                </c:pt>
                <c:pt idx="642">
                  <c:v>43313</c:v>
                </c:pt>
                <c:pt idx="643">
                  <c:v>43344</c:v>
                </c:pt>
                <c:pt idx="644">
                  <c:v>43374</c:v>
                </c:pt>
                <c:pt idx="645">
                  <c:v>43405</c:v>
                </c:pt>
                <c:pt idx="646">
                  <c:v>43435</c:v>
                </c:pt>
                <c:pt idx="647">
                  <c:v>43466</c:v>
                </c:pt>
                <c:pt idx="648">
                  <c:v>43497</c:v>
                </c:pt>
                <c:pt idx="649">
                  <c:v>43525</c:v>
                </c:pt>
                <c:pt idx="650">
                  <c:v>43556</c:v>
                </c:pt>
                <c:pt idx="651">
                  <c:v>43586</c:v>
                </c:pt>
                <c:pt idx="652">
                  <c:v>43617</c:v>
                </c:pt>
                <c:pt idx="653">
                  <c:v>43647</c:v>
                </c:pt>
                <c:pt idx="654">
                  <c:v>43678</c:v>
                </c:pt>
                <c:pt idx="655">
                  <c:v>43709</c:v>
                </c:pt>
                <c:pt idx="656">
                  <c:v>43739</c:v>
                </c:pt>
                <c:pt idx="657">
                  <c:v>43770</c:v>
                </c:pt>
                <c:pt idx="658">
                  <c:v>43800</c:v>
                </c:pt>
                <c:pt idx="659">
                  <c:v>43831</c:v>
                </c:pt>
                <c:pt idx="660">
                  <c:v>43862</c:v>
                </c:pt>
                <c:pt idx="661">
                  <c:v>43891</c:v>
                </c:pt>
                <c:pt idx="662">
                  <c:v>43922</c:v>
                </c:pt>
                <c:pt idx="663">
                  <c:v>43952</c:v>
                </c:pt>
                <c:pt idx="664">
                  <c:v>43983</c:v>
                </c:pt>
                <c:pt idx="665">
                  <c:v>44013</c:v>
                </c:pt>
                <c:pt idx="666">
                  <c:v>44044</c:v>
                </c:pt>
                <c:pt idx="667">
                  <c:v>44075</c:v>
                </c:pt>
                <c:pt idx="668">
                  <c:v>44105</c:v>
                </c:pt>
                <c:pt idx="669">
                  <c:v>44136</c:v>
                </c:pt>
                <c:pt idx="670">
                  <c:v>44166</c:v>
                </c:pt>
                <c:pt idx="671">
                  <c:v>44197</c:v>
                </c:pt>
                <c:pt idx="672">
                  <c:v>44228</c:v>
                </c:pt>
                <c:pt idx="673">
                  <c:v>44256</c:v>
                </c:pt>
                <c:pt idx="674">
                  <c:v>44287</c:v>
                </c:pt>
                <c:pt idx="675">
                  <c:v>44317</c:v>
                </c:pt>
                <c:pt idx="676">
                  <c:v>44348</c:v>
                </c:pt>
                <c:pt idx="677">
                  <c:v>44378</c:v>
                </c:pt>
                <c:pt idx="678">
                  <c:v>44409</c:v>
                </c:pt>
                <c:pt idx="679">
                  <c:v>44440</c:v>
                </c:pt>
                <c:pt idx="680">
                  <c:v>44470</c:v>
                </c:pt>
                <c:pt idx="681">
                  <c:v>44501</c:v>
                </c:pt>
                <c:pt idx="682">
                  <c:v>44531</c:v>
                </c:pt>
                <c:pt idx="683">
                  <c:v>44562</c:v>
                </c:pt>
                <c:pt idx="684">
                  <c:v>44593</c:v>
                </c:pt>
                <c:pt idx="685">
                  <c:v>44621</c:v>
                </c:pt>
                <c:pt idx="686">
                  <c:v>44652</c:v>
                </c:pt>
                <c:pt idx="687">
                  <c:v>44682</c:v>
                </c:pt>
                <c:pt idx="688">
                  <c:v>44713</c:v>
                </c:pt>
                <c:pt idx="689">
                  <c:v>44743</c:v>
                </c:pt>
                <c:pt idx="690">
                  <c:v>44774</c:v>
                </c:pt>
                <c:pt idx="691">
                  <c:v>44805</c:v>
                </c:pt>
                <c:pt idx="692">
                  <c:v>44835</c:v>
                </c:pt>
                <c:pt idx="693">
                  <c:v>44866</c:v>
                </c:pt>
                <c:pt idx="694">
                  <c:v>44896</c:v>
                </c:pt>
                <c:pt idx="695">
                  <c:v>44927</c:v>
                </c:pt>
                <c:pt idx="696">
                  <c:v>44958</c:v>
                </c:pt>
                <c:pt idx="697">
                  <c:v>44986</c:v>
                </c:pt>
                <c:pt idx="698">
                  <c:v>45017</c:v>
                </c:pt>
                <c:pt idx="699">
                  <c:v>45047</c:v>
                </c:pt>
                <c:pt idx="700">
                  <c:v>45078</c:v>
                </c:pt>
                <c:pt idx="701">
                  <c:v>45108</c:v>
                </c:pt>
                <c:pt idx="702">
                  <c:v>45139</c:v>
                </c:pt>
                <c:pt idx="703">
                  <c:v>45170</c:v>
                </c:pt>
                <c:pt idx="704">
                  <c:v>45200</c:v>
                </c:pt>
                <c:pt idx="705">
                  <c:v>45231</c:v>
                </c:pt>
                <c:pt idx="706">
                  <c:v>45261</c:v>
                </c:pt>
                <c:pt idx="707">
                  <c:v>45292</c:v>
                </c:pt>
                <c:pt idx="708">
                  <c:v>45323</c:v>
                </c:pt>
                <c:pt idx="709">
                  <c:v>45352</c:v>
                </c:pt>
                <c:pt idx="710">
                  <c:v>45383</c:v>
                </c:pt>
                <c:pt idx="711">
                  <c:v>45413</c:v>
                </c:pt>
                <c:pt idx="712">
                  <c:v>45444</c:v>
                </c:pt>
                <c:pt idx="713">
                  <c:v>45474</c:v>
                </c:pt>
                <c:pt idx="714">
                  <c:v>45505</c:v>
                </c:pt>
                <c:pt idx="715">
                  <c:v>45536</c:v>
                </c:pt>
                <c:pt idx="716">
                  <c:v>45566</c:v>
                </c:pt>
                <c:pt idx="717">
                  <c:v>45597</c:v>
                </c:pt>
                <c:pt idx="718">
                  <c:v>45627</c:v>
                </c:pt>
                <c:pt idx="719">
                  <c:v>45658</c:v>
                </c:pt>
                <c:pt idx="720">
                  <c:v>45689</c:v>
                </c:pt>
                <c:pt idx="721">
                  <c:v>45717</c:v>
                </c:pt>
                <c:pt idx="722">
                  <c:v>45748</c:v>
                </c:pt>
                <c:pt idx="723">
                  <c:v>45778</c:v>
                </c:pt>
                <c:pt idx="724">
                  <c:v>45809</c:v>
                </c:pt>
                <c:pt idx="725">
                  <c:v>45839</c:v>
                </c:pt>
                <c:pt idx="726">
                  <c:v>45870</c:v>
                </c:pt>
                <c:pt idx="727">
                  <c:v>45901</c:v>
                </c:pt>
                <c:pt idx="728">
                  <c:v>45931</c:v>
                </c:pt>
                <c:pt idx="729">
                  <c:v>45962</c:v>
                </c:pt>
              </c:numCache>
            </c:numRef>
          </c:cat>
          <c:val>
            <c:numRef>
              <c:f>Sheet1!$G$603:$G$1332</c:f>
              <c:numCache>
                <c:formatCode>General</c:formatCode>
                <c:ptCount val="7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10</c:v>
                </c:pt>
                <c:pt idx="510">
                  <c:v>10</c:v>
                </c:pt>
                <c:pt idx="511">
                  <c:v>10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10</c:v>
                </c:pt>
                <c:pt idx="516">
                  <c:v>10</c:v>
                </c:pt>
                <c:pt idx="517">
                  <c:v>10</c:v>
                </c:pt>
                <c:pt idx="518">
                  <c:v>10</c:v>
                </c:pt>
                <c:pt idx="519">
                  <c:v>10</c:v>
                </c:pt>
                <c:pt idx="520">
                  <c:v>10</c:v>
                </c:pt>
                <c:pt idx="521">
                  <c:v>10</c:v>
                </c:pt>
                <c:pt idx="522">
                  <c:v>10</c:v>
                </c:pt>
                <c:pt idx="523">
                  <c:v>10</c:v>
                </c:pt>
                <c:pt idx="524">
                  <c:v>10</c:v>
                </c:pt>
                <c:pt idx="525">
                  <c:v>10</c:v>
                </c:pt>
                <c:pt idx="526">
                  <c:v>10</c:v>
                </c:pt>
                <c:pt idx="527">
                  <c:v>10</c:v>
                </c:pt>
                <c:pt idx="528">
                  <c:v>10</c:v>
                </c:pt>
                <c:pt idx="529">
                  <c:v>10</c:v>
                </c:pt>
                <c:pt idx="530">
                  <c:v>10</c:v>
                </c:pt>
                <c:pt idx="531">
                  <c:v>10</c:v>
                </c:pt>
                <c:pt idx="532">
                  <c:v>10</c:v>
                </c:pt>
                <c:pt idx="533">
                  <c:v>10</c:v>
                </c:pt>
                <c:pt idx="534">
                  <c:v>10</c:v>
                </c:pt>
                <c:pt idx="535">
                  <c:v>10</c:v>
                </c:pt>
                <c:pt idx="536">
                  <c:v>10</c:v>
                </c:pt>
                <c:pt idx="537">
                  <c:v>10</c:v>
                </c:pt>
                <c:pt idx="538">
                  <c:v>10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10</c:v>
                </c:pt>
                <c:pt idx="546">
                  <c:v>10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10</c:v>
                </c:pt>
                <c:pt idx="552">
                  <c:v>10</c:v>
                </c:pt>
                <c:pt idx="553">
                  <c:v>10</c:v>
                </c:pt>
                <c:pt idx="554">
                  <c:v>10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10</c:v>
                </c:pt>
                <c:pt idx="559">
                  <c:v>10</c:v>
                </c:pt>
                <c:pt idx="560">
                  <c:v>10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10</c:v>
                </c:pt>
                <c:pt idx="565">
                  <c:v>10</c:v>
                </c:pt>
                <c:pt idx="566">
                  <c:v>10</c:v>
                </c:pt>
                <c:pt idx="567">
                  <c:v>10</c:v>
                </c:pt>
                <c:pt idx="568">
                  <c:v>10</c:v>
                </c:pt>
                <c:pt idx="569">
                  <c:v>10</c:v>
                </c:pt>
                <c:pt idx="570">
                  <c:v>10</c:v>
                </c:pt>
                <c:pt idx="571">
                  <c:v>10</c:v>
                </c:pt>
                <c:pt idx="572">
                  <c:v>10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10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10</c:v>
                </c:pt>
                <c:pt idx="584">
                  <c:v>10</c:v>
                </c:pt>
                <c:pt idx="585">
                  <c:v>10</c:v>
                </c:pt>
                <c:pt idx="586">
                  <c:v>10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10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10</c:v>
                </c:pt>
                <c:pt idx="617">
                  <c:v>10</c:v>
                </c:pt>
                <c:pt idx="618">
                  <c:v>10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10</c:v>
                </c:pt>
                <c:pt idx="627">
                  <c:v>10</c:v>
                </c:pt>
                <c:pt idx="628">
                  <c:v>10</c:v>
                </c:pt>
                <c:pt idx="629">
                  <c:v>10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10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10</c:v>
                </c:pt>
                <c:pt idx="671">
                  <c:v>10</c:v>
                </c:pt>
                <c:pt idx="672">
                  <c:v>10</c:v>
                </c:pt>
                <c:pt idx="673">
                  <c:v>10</c:v>
                </c:pt>
                <c:pt idx="674">
                  <c:v>10</c:v>
                </c:pt>
                <c:pt idx="675">
                  <c:v>10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10</c:v>
                </c:pt>
                <c:pt idx="692">
                  <c:v>10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  <c:pt idx="700">
                  <c:v>10</c:v>
                </c:pt>
                <c:pt idx="701">
                  <c:v>10</c:v>
                </c:pt>
                <c:pt idx="702">
                  <c:v>10</c:v>
                </c:pt>
                <c:pt idx="703">
                  <c:v>10</c:v>
                </c:pt>
                <c:pt idx="704">
                  <c:v>10</c:v>
                </c:pt>
                <c:pt idx="705">
                  <c:v>10</c:v>
                </c:pt>
                <c:pt idx="706">
                  <c:v>10</c:v>
                </c:pt>
                <c:pt idx="707">
                  <c:v>10</c:v>
                </c:pt>
                <c:pt idx="708">
                  <c:v>10</c:v>
                </c:pt>
                <c:pt idx="709">
                  <c:v>10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BF-4949-B944-9CD9BFBD8AC2}"/>
            </c:ext>
          </c:extLst>
        </c:ser>
        <c:ser>
          <c:idx val="4"/>
          <c:order val="4"/>
          <c:tx>
            <c:v>The Great Moderation</c:v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Sheet1!$A$603:$A$1332</c:f>
              <c:numCache>
                <c:formatCode>m/d/yy</c:formatCode>
                <c:ptCount val="730"/>
                <c:pt idx="0">
                  <c:v>23774</c:v>
                </c:pt>
                <c:pt idx="1">
                  <c:v>23802</c:v>
                </c:pt>
                <c:pt idx="2">
                  <c:v>23833</c:v>
                </c:pt>
                <c:pt idx="3">
                  <c:v>23863</c:v>
                </c:pt>
                <c:pt idx="4">
                  <c:v>23894</c:v>
                </c:pt>
                <c:pt idx="5">
                  <c:v>23924</c:v>
                </c:pt>
                <c:pt idx="6">
                  <c:v>23955</c:v>
                </c:pt>
                <c:pt idx="7">
                  <c:v>23986</c:v>
                </c:pt>
                <c:pt idx="8">
                  <c:v>24016</c:v>
                </c:pt>
                <c:pt idx="9">
                  <c:v>24047</c:v>
                </c:pt>
                <c:pt idx="10">
                  <c:v>24077</c:v>
                </c:pt>
                <c:pt idx="11">
                  <c:v>24108</c:v>
                </c:pt>
                <c:pt idx="12">
                  <c:v>24139</c:v>
                </c:pt>
                <c:pt idx="13">
                  <c:v>24167</c:v>
                </c:pt>
                <c:pt idx="14">
                  <c:v>24198</c:v>
                </c:pt>
                <c:pt idx="15">
                  <c:v>24228</c:v>
                </c:pt>
                <c:pt idx="16">
                  <c:v>24259</c:v>
                </c:pt>
                <c:pt idx="17">
                  <c:v>24289</c:v>
                </c:pt>
                <c:pt idx="18">
                  <c:v>24320</c:v>
                </c:pt>
                <c:pt idx="19">
                  <c:v>24351</c:v>
                </c:pt>
                <c:pt idx="20">
                  <c:v>24381</c:v>
                </c:pt>
                <c:pt idx="21">
                  <c:v>24412</c:v>
                </c:pt>
                <c:pt idx="22">
                  <c:v>24442</c:v>
                </c:pt>
                <c:pt idx="23">
                  <c:v>24473</c:v>
                </c:pt>
                <c:pt idx="24">
                  <c:v>24504</c:v>
                </c:pt>
                <c:pt idx="25">
                  <c:v>24532</c:v>
                </c:pt>
                <c:pt idx="26">
                  <c:v>24563</c:v>
                </c:pt>
                <c:pt idx="27">
                  <c:v>24593</c:v>
                </c:pt>
                <c:pt idx="28">
                  <c:v>24624</c:v>
                </c:pt>
                <c:pt idx="29">
                  <c:v>24654</c:v>
                </c:pt>
                <c:pt idx="30">
                  <c:v>24685</c:v>
                </c:pt>
                <c:pt idx="31">
                  <c:v>24716</c:v>
                </c:pt>
                <c:pt idx="32">
                  <c:v>24746</c:v>
                </c:pt>
                <c:pt idx="33">
                  <c:v>24777</c:v>
                </c:pt>
                <c:pt idx="34">
                  <c:v>24807</c:v>
                </c:pt>
                <c:pt idx="35">
                  <c:v>24838</c:v>
                </c:pt>
                <c:pt idx="36">
                  <c:v>24869</c:v>
                </c:pt>
                <c:pt idx="37">
                  <c:v>24898</c:v>
                </c:pt>
                <c:pt idx="38">
                  <c:v>24929</c:v>
                </c:pt>
                <c:pt idx="39">
                  <c:v>24959</c:v>
                </c:pt>
                <c:pt idx="40">
                  <c:v>24990</c:v>
                </c:pt>
                <c:pt idx="41">
                  <c:v>25020</c:v>
                </c:pt>
                <c:pt idx="42">
                  <c:v>25051</c:v>
                </c:pt>
                <c:pt idx="43">
                  <c:v>25082</c:v>
                </c:pt>
                <c:pt idx="44">
                  <c:v>25112</c:v>
                </c:pt>
                <c:pt idx="45">
                  <c:v>25143</c:v>
                </c:pt>
                <c:pt idx="46">
                  <c:v>25173</c:v>
                </c:pt>
                <c:pt idx="47">
                  <c:v>25204</c:v>
                </c:pt>
                <c:pt idx="48">
                  <c:v>25235</c:v>
                </c:pt>
                <c:pt idx="49">
                  <c:v>25263</c:v>
                </c:pt>
                <c:pt idx="50">
                  <c:v>25294</c:v>
                </c:pt>
                <c:pt idx="51">
                  <c:v>25324</c:v>
                </c:pt>
                <c:pt idx="52">
                  <c:v>25355</c:v>
                </c:pt>
                <c:pt idx="53">
                  <c:v>25385</c:v>
                </c:pt>
                <c:pt idx="54">
                  <c:v>25416</c:v>
                </c:pt>
                <c:pt idx="55">
                  <c:v>25447</c:v>
                </c:pt>
                <c:pt idx="56">
                  <c:v>25477</c:v>
                </c:pt>
                <c:pt idx="57">
                  <c:v>25508</c:v>
                </c:pt>
                <c:pt idx="58">
                  <c:v>25538</c:v>
                </c:pt>
                <c:pt idx="59">
                  <c:v>25569</c:v>
                </c:pt>
                <c:pt idx="60">
                  <c:v>25600</c:v>
                </c:pt>
                <c:pt idx="61">
                  <c:v>25628</c:v>
                </c:pt>
                <c:pt idx="62">
                  <c:v>25659</c:v>
                </c:pt>
                <c:pt idx="63">
                  <c:v>25689</c:v>
                </c:pt>
                <c:pt idx="64">
                  <c:v>25720</c:v>
                </c:pt>
                <c:pt idx="65">
                  <c:v>25750</c:v>
                </c:pt>
                <c:pt idx="66">
                  <c:v>25781</c:v>
                </c:pt>
                <c:pt idx="67">
                  <c:v>25812</c:v>
                </c:pt>
                <c:pt idx="68">
                  <c:v>25842</c:v>
                </c:pt>
                <c:pt idx="69">
                  <c:v>25873</c:v>
                </c:pt>
                <c:pt idx="70">
                  <c:v>25903</c:v>
                </c:pt>
                <c:pt idx="71">
                  <c:v>25934</c:v>
                </c:pt>
                <c:pt idx="72">
                  <c:v>25965</c:v>
                </c:pt>
                <c:pt idx="73">
                  <c:v>25993</c:v>
                </c:pt>
                <c:pt idx="74">
                  <c:v>26024</c:v>
                </c:pt>
                <c:pt idx="75">
                  <c:v>26054</c:v>
                </c:pt>
                <c:pt idx="76">
                  <c:v>26085</c:v>
                </c:pt>
                <c:pt idx="77">
                  <c:v>26115</c:v>
                </c:pt>
                <c:pt idx="78">
                  <c:v>26146</c:v>
                </c:pt>
                <c:pt idx="79">
                  <c:v>26177</c:v>
                </c:pt>
                <c:pt idx="80">
                  <c:v>26207</c:v>
                </c:pt>
                <c:pt idx="81">
                  <c:v>26238</c:v>
                </c:pt>
                <c:pt idx="82">
                  <c:v>26268</c:v>
                </c:pt>
                <c:pt idx="83">
                  <c:v>26299</c:v>
                </c:pt>
                <c:pt idx="84">
                  <c:v>26330</c:v>
                </c:pt>
                <c:pt idx="85">
                  <c:v>26359</c:v>
                </c:pt>
                <c:pt idx="86">
                  <c:v>26390</c:v>
                </c:pt>
                <c:pt idx="87">
                  <c:v>26420</c:v>
                </c:pt>
                <c:pt idx="88">
                  <c:v>26451</c:v>
                </c:pt>
                <c:pt idx="89">
                  <c:v>26481</c:v>
                </c:pt>
                <c:pt idx="90">
                  <c:v>26512</c:v>
                </c:pt>
                <c:pt idx="91">
                  <c:v>26543</c:v>
                </c:pt>
                <c:pt idx="92">
                  <c:v>26573</c:v>
                </c:pt>
                <c:pt idx="93">
                  <c:v>26604</c:v>
                </c:pt>
                <c:pt idx="94">
                  <c:v>26634</c:v>
                </c:pt>
                <c:pt idx="95">
                  <c:v>26665</c:v>
                </c:pt>
                <c:pt idx="96">
                  <c:v>26696</c:v>
                </c:pt>
                <c:pt idx="97">
                  <c:v>26724</c:v>
                </c:pt>
                <c:pt idx="98">
                  <c:v>26755</c:v>
                </c:pt>
                <c:pt idx="99">
                  <c:v>26785</c:v>
                </c:pt>
                <c:pt idx="100">
                  <c:v>26816</c:v>
                </c:pt>
                <c:pt idx="101">
                  <c:v>26846</c:v>
                </c:pt>
                <c:pt idx="102">
                  <c:v>26877</c:v>
                </c:pt>
                <c:pt idx="103">
                  <c:v>26908</c:v>
                </c:pt>
                <c:pt idx="104">
                  <c:v>26938</c:v>
                </c:pt>
                <c:pt idx="105">
                  <c:v>26969</c:v>
                </c:pt>
                <c:pt idx="106">
                  <c:v>26999</c:v>
                </c:pt>
                <c:pt idx="107">
                  <c:v>27030</c:v>
                </c:pt>
                <c:pt idx="108">
                  <c:v>27061</c:v>
                </c:pt>
                <c:pt idx="109">
                  <c:v>27089</c:v>
                </c:pt>
                <c:pt idx="110">
                  <c:v>27120</c:v>
                </c:pt>
                <c:pt idx="111">
                  <c:v>27150</c:v>
                </c:pt>
                <c:pt idx="112">
                  <c:v>27181</c:v>
                </c:pt>
                <c:pt idx="113">
                  <c:v>27211</c:v>
                </c:pt>
                <c:pt idx="114">
                  <c:v>27242</c:v>
                </c:pt>
                <c:pt idx="115">
                  <c:v>27273</c:v>
                </c:pt>
                <c:pt idx="116">
                  <c:v>27303</c:v>
                </c:pt>
                <c:pt idx="117">
                  <c:v>27334</c:v>
                </c:pt>
                <c:pt idx="118">
                  <c:v>27364</c:v>
                </c:pt>
                <c:pt idx="119">
                  <c:v>27395</c:v>
                </c:pt>
                <c:pt idx="120">
                  <c:v>27426</c:v>
                </c:pt>
                <c:pt idx="121">
                  <c:v>27454</c:v>
                </c:pt>
                <c:pt idx="122">
                  <c:v>27485</c:v>
                </c:pt>
                <c:pt idx="123">
                  <c:v>27515</c:v>
                </c:pt>
                <c:pt idx="124">
                  <c:v>27546</c:v>
                </c:pt>
                <c:pt idx="125">
                  <c:v>27576</c:v>
                </c:pt>
                <c:pt idx="126">
                  <c:v>27607</c:v>
                </c:pt>
                <c:pt idx="127">
                  <c:v>27638</c:v>
                </c:pt>
                <c:pt idx="128">
                  <c:v>27668</c:v>
                </c:pt>
                <c:pt idx="129">
                  <c:v>27699</c:v>
                </c:pt>
                <c:pt idx="130">
                  <c:v>27729</c:v>
                </c:pt>
                <c:pt idx="131">
                  <c:v>27760</c:v>
                </c:pt>
                <c:pt idx="132">
                  <c:v>27791</c:v>
                </c:pt>
                <c:pt idx="133">
                  <c:v>27820</c:v>
                </c:pt>
                <c:pt idx="134">
                  <c:v>27851</c:v>
                </c:pt>
                <c:pt idx="135">
                  <c:v>27881</c:v>
                </c:pt>
                <c:pt idx="136">
                  <c:v>27912</c:v>
                </c:pt>
                <c:pt idx="137">
                  <c:v>27942</c:v>
                </c:pt>
                <c:pt idx="138">
                  <c:v>27973</c:v>
                </c:pt>
                <c:pt idx="139">
                  <c:v>28004</c:v>
                </c:pt>
                <c:pt idx="140">
                  <c:v>28034</c:v>
                </c:pt>
                <c:pt idx="141">
                  <c:v>28065</c:v>
                </c:pt>
                <c:pt idx="142">
                  <c:v>28095</c:v>
                </c:pt>
                <c:pt idx="143">
                  <c:v>28126</c:v>
                </c:pt>
                <c:pt idx="144">
                  <c:v>28157</c:v>
                </c:pt>
                <c:pt idx="145">
                  <c:v>28185</c:v>
                </c:pt>
                <c:pt idx="146">
                  <c:v>28216</c:v>
                </c:pt>
                <c:pt idx="147">
                  <c:v>28246</c:v>
                </c:pt>
                <c:pt idx="148">
                  <c:v>28277</c:v>
                </c:pt>
                <c:pt idx="149">
                  <c:v>28307</c:v>
                </c:pt>
                <c:pt idx="150">
                  <c:v>28338</c:v>
                </c:pt>
                <c:pt idx="151">
                  <c:v>28369</c:v>
                </c:pt>
                <c:pt idx="152">
                  <c:v>28399</c:v>
                </c:pt>
                <c:pt idx="153">
                  <c:v>28430</c:v>
                </c:pt>
                <c:pt idx="154">
                  <c:v>28460</c:v>
                </c:pt>
                <c:pt idx="155">
                  <c:v>28491</c:v>
                </c:pt>
                <c:pt idx="156">
                  <c:v>28522</c:v>
                </c:pt>
                <c:pt idx="157">
                  <c:v>28550</c:v>
                </c:pt>
                <c:pt idx="158">
                  <c:v>28581</c:v>
                </c:pt>
                <c:pt idx="159">
                  <c:v>28611</c:v>
                </c:pt>
                <c:pt idx="160">
                  <c:v>28642</c:v>
                </c:pt>
                <c:pt idx="161">
                  <c:v>28672</c:v>
                </c:pt>
                <c:pt idx="162">
                  <c:v>28703</c:v>
                </c:pt>
                <c:pt idx="163">
                  <c:v>28734</c:v>
                </c:pt>
                <c:pt idx="164">
                  <c:v>28764</c:v>
                </c:pt>
                <c:pt idx="165">
                  <c:v>28795</c:v>
                </c:pt>
                <c:pt idx="166">
                  <c:v>28825</c:v>
                </c:pt>
                <c:pt idx="167">
                  <c:v>28856</c:v>
                </c:pt>
                <c:pt idx="168">
                  <c:v>28887</c:v>
                </c:pt>
                <c:pt idx="169">
                  <c:v>28915</c:v>
                </c:pt>
                <c:pt idx="170">
                  <c:v>28946</c:v>
                </c:pt>
                <c:pt idx="171">
                  <c:v>28976</c:v>
                </c:pt>
                <c:pt idx="172">
                  <c:v>29007</c:v>
                </c:pt>
                <c:pt idx="173">
                  <c:v>29037</c:v>
                </c:pt>
                <c:pt idx="174">
                  <c:v>29068</c:v>
                </c:pt>
                <c:pt idx="175">
                  <c:v>29099</c:v>
                </c:pt>
                <c:pt idx="176">
                  <c:v>29129</c:v>
                </c:pt>
                <c:pt idx="177">
                  <c:v>29160</c:v>
                </c:pt>
                <c:pt idx="178">
                  <c:v>29190</c:v>
                </c:pt>
                <c:pt idx="179">
                  <c:v>29221</c:v>
                </c:pt>
                <c:pt idx="180">
                  <c:v>29252</c:v>
                </c:pt>
                <c:pt idx="181">
                  <c:v>29281</c:v>
                </c:pt>
                <c:pt idx="182">
                  <c:v>29312</c:v>
                </c:pt>
                <c:pt idx="183">
                  <c:v>29342</c:v>
                </c:pt>
                <c:pt idx="184">
                  <c:v>29373</c:v>
                </c:pt>
                <c:pt idx="185">
                  <c:v>29403</c:v>
                </c:pt>
                <c:pt idx="186">
                  <c:v>29434</c:v>
                </c:pt>
                <c:pt idx="187">
                  <c:v>29465</c:v>
                </c:pt>
                <c:pt idx="188">
                  <c:v>29495</c:v>
                </c:pt>
                <c:pt idx="189">
                  <c:v>29526</c:v>
                </c:pt>
                <c:pt idx="190">
                  <c:v>29556</c:v>
                </c:pt>
                <c:pt idx="191">
                  <c:v>29587</c:v>
                </c:pt>
                <c:pt idx="192">
                  <c:v>29618</c:v>
                </c:pt>
                <c:pt idx="193">
                  <c:v>29646</c:v>
                </c:pt>
                <c:pt idx="194">
                  <c:v>29677</c:v>
                </c:pt>
                <c:pt idx="195">
                  <c:v>29707</c:v>
                </c:pt>
                <c:pt idx="196">
                  <c:v>29738</c:v>
                </c:pt>
                <c:pt idx="197">
                  <c:v>29768</c:v>
                </c:pt>
                <c:pt idx="198">
                  <c:v>29799</c:v>
                </c:pt>
                <c:pt idx="199">
                  <c:v>29830</c:v>
                </c:pt>
                <c:pt idx="200">
                  <c:v>29860</c:v>
                </c:pt>
                <c:pt idx="201">
                  <c:v>29891</c:v>
                </c:pt>
                <c:pt idx="202">
                  <c:v>29921</c:v>
                </c:pt>
                <c:pt idx="203">
                  <c:v>29952</c:v>
                </c:pt>
                <c:pt idx="204">
                  <c:v>29983</c:v>
                </c:pt>
                <c:pt idx="205">
                  <c:v>30011</c:v>
                </c:pt>
                <c:pt idx="206">
                  <c:v>30042</c:v>
                </c:pt>
                <c:pt idx="207">
                  <c:v>30072</c:v>
                </c:pt>
                <c:pt idx="208">
                  <c:v>30103</c:v>
                </c:pt>
                <c:pt idx="209">
                  <c:v>30133</c:v>
                </c:pt>
                <c:pt idx="210">
                  <c:v>30164</c:v>
                </c:pt>
                <c:pt idx="211">
                  <c:v>30195</c:v>
                </c:pt>
                <c:pt idx="212">
                  <c:v>30225</c:v>
                </c:pt>
                <c:pt idx="213">
                  <c:v>30256</c:v>
                </c:pt>
                <c:pt idx="214">
                  <c:v>30286</c:v>
                </c:pt>
                <c:pt idx="215">
                  <c:v>30317</c:v>
                </c:pt>
                <c:pt idx="216">
                  <c:v>30348</c:v>
                </c:pt>
                <c:pt idx="217">
                  <c:v>30376</c:v>
                </c:pt>
                <c:pt idx="218">
                  <c:v>30407</c:v>
                </c:pt>
                <c:pt idx="219">
                  <c:v>30437</c:v>
                </c:pt>
                <c:pt idx="220">
                  <c:v>30468</c:v>
                </c:pt>
                <c:pt idx="221">
                  <c:v>30498</c:v>
                </c:pt>
                <c:pt idx="222">
                  <c:v>30529</c:v>
                </c:pt>
                <c:pt idx="223">
                  <c:v>30560</c:v>
                </c:pt>
                <c:pt idx="224">
                  <c:v>30590</c:v>
                </c:pt>
                <c:pt idx="225">
                  <c:v>30621</c:v>
                </c:pt>
                <c:pt idx="226">
                  <c:v>30651</c:v>
                </c:pt>
                <c:pt idx="227">
                  <c:v>30682</c:v>
                </c:pt>
                <c:pt idx="228">
                  <c:v>30713</c:v>
                </c:pt>
                <c:pt idx="229">
                  <c:v>30742</c:v>
                </c:pt>
                <c:pt idx="230">
                  <c:v>30773</c:v>
                </c:pt>
                <c:pt idx="231">
                  <c:v>30803</c:v>
                </c:pt>
                <c:pt idx="232">
                  <c:v>30834</c:v>
                </c:pt>
                <c:pt idx="233">
                  <c:v>30864</c:v>
                </c:pt>
                <c:pt idx="234">
                  <c:v>30895</c:v>
                </c:pt>
                <c:pt idx="235">
                  <c:v>30926</c:v>
                </c:pt>
                <c:pt idx="236">
                  <c:v>30956</c:v>
                </c:pt>
                <c:pt idx="237">
                  <c:v>30987</c:v>
                </c:pt>
                <c:pt idx="238">
                  <c:v>31017</c:v>
                </c:pt>
                <c:pt idx="239">
                  <c:v>31048</c:v>
                </c:pt>
                <c:pt idx="240">
                  <c:v>31079</c:v>
                </c:pt>
                <c:pt idx="241">
                  <c:v>31107</c:v>
                </c:pt>
                <c:pt idx="242">
                  <c:v>31138</c:v>
                </c:pt>
                <c:pt idx="243">
                  <c:v>31168</c:v>
                </c:pt>
                <c:pt idx="244">
                  <c:v>31199</c:v>
                </c:pt>
                <c:pt idx="245">
                  <c:v>31229</c:v>
                </c:pt>
                <c:pt idx="246">
                  <c:v>31260</c:v>
                </c:pt>
                <c:pt idx="247">
                  <c:v>31291</c:v>
                </c:pt>
                <c:pt idx="248">
                  <c:v>31321</c:v>
                </c:pt>
                <c:pt idx="249">
                  <c:v>31352</c:v>
                </c:pt>
                <c:pt idx="250">
                  <c:v>31382</c:v>
                </c:pt>
                <c:pt idx="251">
                  <c:v>31413</c:v>
                </c:pt>
                <c:pt idx="252">
                  <c:v>31444</c:v>
                </c:pt>
                <c:pt idx="253">
                  <c:v>31472</c:v>
                </c:pt>
                <c:pt idx="254">
                  <c:v>31503</c:v>
                </c:pt>
                <c:pt idx="255">
                  <c:v>31533</c:v>
                </c:pt>
                <c:pt idx="256">
                  <c:v>31564</c:v>
                </c:pt>
                <c:pt idx="257">
                  <c:v>31594</c:v>
                </c:pt>
                <c:pt idx="258">
                  <c:v>31625</c:v>
                </c:pt>
                <c:pt idx="259">
                  <c:v>31656</c:v>
                </c:pt>
                <c:pt idx="260">
                  <c:v>31686</c:v>
                </c:pt>
                <c:pt idx="261">
                  <c:v>31717</c:v>
                </c:pt>
                <c:pt idx="262">
                  <c:v>31747</c:v>
                </c:pt>
                <c:pt idx="263">
                  <c:v>31778</c:v>
                </c:pt>
                <c:pt idx="264">
                  <c:v>31809</c:v>
                </c:pt>
                <c:pt idx="265">
                  <c:v>31837</c:v>
                </c:pt>
                <c:pt idx="266">
                  <c:v>31868</c:v>
                </c:pt>
                <c:pt idx="267">
                  <c:v>31898</c:v>
                </c:pt>
                <c:pt idx="268">
                  <c:v>31929</c:v>
                </c:pt>
                <c:pt idx="269">
                  <c:v>31959</c:v>
                </c:pt>
                <c:pt idx="270">
                  <c:v>31990</c:v>
                </c:pt>
                <c:pt idx="271">
                  <c:v>32021</c:v>
                </c:pt>
                <c:pt idx="272">
                  <c:v>32051</c:v>
                </c:pt>
                <c:pt idx="273">
                  <c:v>32082</c:v>
                </c:pt>
                <c:pt idx="274">
                  <c:v>32112</c:v>
                </c:pt>
                <c:pt idx="275">
                  <c:v>32143</c:v>
                </c:pt>
                <c:pt idx="276">
                  <c:v>32174</c:v>
                </c:pt>
                <c:pt idx="277">
                  <c:v>32203</c:v>
                </c:pt>
                <c:pt idx="278">
                  <c:v>32234</c:v>
                </c:pt>
                <c:pt idx="279">
                  <c:v>32264</c:v>
                </c:pt>
                <c:pt idx="280">
                  <c:v>32295</c:v>
                </c:pt>
                <c:pt idx="281">
                  <c:v>32325</c:v>
                </c:pt>
                <c:pt idx="282">
                  <c:v>32356</c:v>
                </c:pt>
                <c:pt idx="283">
                  <c:v>32387</c:v>
                </c:pt>
                <c:pt idx="284">
                  <c:v>32417</c:v>
                </c:pt>
                <c:pt idx="285">
                  <c:v>32448</c:v>
                </c:pt>
                <c:pt idx="286">
                  <c:v>32478</c:v>
                </c:pt>
                <c:pt idx="287">
                  <c:v>32509</c:v>
                </c:pt>
                <c:pt idx="288">
                  <c:v>32540</c:v>
                </c:pt>
                <c:pt idx="289">
                  <c:v>32568</c:v>
                </c:pt>
                <c:pt idx="290">
                  <c:v>32599</c:v>
                </c:pt>
                <c:pt idx="291">
                  <c:v>32629</c:v>
                </c:pt>
                <c:pt idx="292">
                  <c:v>32660</c:v>
                </c:pt>
                <c:pt idx="293">
                  <c:v>32690</c:v>
                </c:pt>
                <c:pt idx="294">
                  <c:v>32721</c:v>
                </c:pt>
                <c:pt idx="295">
                  <c:v>32752</c:v>
                </c:pt>
                <c:pt idx="296">
                  <c:v>32782</c:v>
                </c:pt>
                <c:pt idx="297">
                  <c:v>32813</c:v>
                </c:pt>
                <c:pt idx="298">
                  <c:v>32843</c:v>
                </c:pt>
                <c:pt idx="299">
                  <c:v>32874</c:v>
                </c:pt>
                <c:pt idx="300">
                  <c:v>32905</c:v>
                </c:pt>
                <c:pt idx="301">
                  <c:v>32933</c:v>
                </c:pt>
                <c:pt idx="302">
                  <c:v>32964</c:v>
                </c:pt>
                <c:pt idx="303">
                  <c:v>32994</c:v>
                </c:pt>
                <c:pt idx="304">
                  <c:v>33025</c:v>
                </c:pt>
                <c:pt idx="305">
                  <c:v>33055</c:v>
                </c:pt>
                <c:pt idx="306">
                  <c:v>33086</c:v>
                </c:pt>
                <c:pt idx="307">
                  <c:v>33117</c:v>
                </c:pt>
                <c:pt idx="308">
                  <c:v>33147</c:v>
                </c:pt>
                <c:pt idx="309">
                  <c:v>33178</c:v>
                </c:pt>
                <c:pt idx="310">
                  <c:v>33208</c:v>
                </c:pt>
                <c:pt idx="311">
                  <c:v>33239</c:v>
                </c:pt>
                <c:pt idx="312">
                  <c:v>33270</c:v>
                </c:pt>
                <c:pt idx="313">
                  <c:v>33298</c:v>
                </c:pt>
                <c:pt idx="314">
                  <c:v>33329</c:v>
                </c:pt>
                <c:pt idx="315">
                  <c:v>33359</c:v>
                </c:pt>
                <c:pt idx="316">
                  <c:v>33390</c:v>
                </c:pt>
                <c:pt idx="317">
                  <c:v>33420</c:v>
                </c:pt>
                <c:pt idx="318">
                  <c:v>33451</c:v>
                </c:pt>
                <c:pt idx="319">
                  <c:v>33482</c:v>
                </c:pt>
                <c:pt idx="320">
                  <c:v>33512</c:v>
                </c:pt>
                <c:pt idx="321">
                  <c:v>33543</c:v>
                </c:pt>
                <c:pt idx="322">
                  <c:v>33573</c:v>
                </c:pt>
                <c:pt idx="323">
                  <c:v>33604</c:v>
                </c:pt>
                <c:pt idx="324">
                  <c:v>33635</c:v>
                </c:pt>
                <c:pt idx="325">
                  <c:v>33664</c:v>
                </c:pt>
                <c:pt idx="326">
                  <c:v>33695</c:v>
                </c:pt>
                <c:pt idx="327">
                  <c:v>33725</c:v>
                </c:pt>
                <c:pt idx="328">
                  <c:v>33756</c:v>
                </c:pt>
                <c:pt idx="329">
                  <c:v>33786</c:v>
                </c:pt>
                <c:pt idx="330">
                  <c:v>33817</c:v>
                </c:pt>
                <c:pt idx="331">
                  <c:v>33848</c:v>
                </c:pt>
                <c:pt idx="332">
                  <c:v>33878</c:v>
                </c:pt>
                <c:pt idx="333">
                  <c:v>33909</c:v>
                </c:pt>
                <c:pt idx="334">
                  <c:v>33939</c:v>
                </c:pt>
                <c:pt idx="335">
                  <c:v>33970</c:v>
                </c:pt>
                <c:pt idx="336">
                  <c:v>34001</c:v>
                </c:pt>
                <c:pt idx="337">
                  <c:v>34029</c:v>
                </c:pt>
                <c:pt idx="338">
                  <c:v>34060</c:v>
                </c:pt>
                <c:pt idx="339">
                  <c:v>34090</c:v>
                </c:pt>
                <c:pt idx="340">
                  <c:v>34121</c:v>
                </c:pt>
                <c:pt idx="341">
                  <c:v>34151</c:v>
                </c:pt>
                <c:pt idx="342">
                  <c:v>34182</c:v>
                </c:pt>
                <c:pt idx="343">
                  <c:v>34213</c:v>
                </c:pt>
                <c:pt idx="344">
                  <c:v>34243</c:v>
                </c:pt>
                <c:pt idx="345">
                  <c:v>34274</c:v>
                </c:pt>
                <c:pt idx="346">
                  <c:v>34304</c:v>
                </c:pt>
                <c:pt idx="347">
                  <c:v>34335</c:v>
                </c:pt>
                <c:pt idx="348">
                  <c:v>34366</c:v>
                </c:pt>
                <c:pt idx="349">
                  <c:v>34394</c:v>
                </c:pt>
                <c:pt idx="350">
                  <c:v>34425</c:v>
                </c:pt>
                <c:pt idx="351">
                  <c:v>34455</c:v>
                </c:pt>
                <c:pt idx="352">
                  <c:v>34486</c:v>
                </c:pt>
                <c:pt idx="353">
                  <c:v>34516</c:v>
                </c:pt>
                <c:pt idx="354">
                  <c:v>34547</c:v>
                </c:pt>
                <c:pt idx="355">
                  <c:v>34578</c:v>
                </c:pt>
                <c:pt idx="356">
                  <c:v>34608</c:v>
                </c:pt>
                <c:pt idx="357">
                  <c:v>34639</c:v>
                </c:pt>
                <c:pt idx="358">
                  <c:v>34669</c:v>
                </c:pt>
                <c:pt idx="359">
                  <c:v>34700</c:v>
                </c:pt>
                <c:pt idx="360">
                  <c:v>34731</c:v>
                </c:pt>
                <c:pt idx="361">
                  <c:v>34759</c:v>
                </c:pt>
                <c:pt idx="362">
                  <c:v>34790</c:v>
                </c:pt>
                <c:pt idx="363">
                  <c:v>34820</c:v>
                </c:pt>
                <c:pt idx="364">
                  <c:v>34851</c:v>
                </c:pt>
                <c:pt idx="365">
                  <c:v>34881</c:v>
                </c:pt>
                <c:pt idx="366">
                  <c:v>34912</c:v>
                </c:pt>
                <c:pt idx="367">
                  <c:v>34943</c:v>
                </c:pt>
                <c:pt idx="368">
                  <c:v>34973</c:v>
                </c:pt>
                <c:pt idx="369">
                  <c:v>35004</c:v>
                </c:pt>
                <c:pt idx="370">
                  <c:v>35034</c:v>
                </c:pt>
                <c:pt idx="371">
                  <c:v>35065</c:v>
                </c:pt>
                <c:pt idx="372">
                  <c:v>35096</c:v>
                </c:pt>
                <c:pt idx="373">
                  <c:v>35125</c:v>
                </c:pt>
                <c:pt idx="374">
                  <c:v>35156</c:v>
                </c:pt>
                <c:pt idx="375">
                  <c:v>35186</c:v>
                </c:pt>
                <c:pt idx="376">
                  <c:v>35217</c:v>
                </c:pt>
                <c:pt idx="377">
                  <c:v>35247</c:v>
                </c:pt>
                <c:pt idx="378">
                  <c:v>35278</c:v>
                </c:pt>
                <c:pt idx="379">
                  <c:v>35309</c:v>
                </c:pt>
                <c:pt idx="380">
                  <c:v>35339</c:v>
                </c:pt>
                <c:pt idx="381">
                  <c:v>35370</c:v>
                </c:pt>
                <c:pt idx="382">
                  <c:v>35400</c:v>
                </c:pt>
                <c:pt idx="383">
                  <c:v>35431</c:v>
                </c:pt>
                <c:pt idx="384">
                  <c:v>35462</c:v>
                </c:pt>
                <c:pt idx="385">
                  <c:v>35490</c:v>
                </c:pt>
                <c:pt idx="386">
                  <c:v>35521</c:v>
                </c:pt>
                <c:pt idx="387">
                  <c:v>35551</c:v>
                </c:pt>
                <c:pt idx="388">
                  <c:v>35582</c:v>
                </c:pt>
                <c:pt idx="389">
                  <c:v>35612</c:v>
                </c:pt>
                <c:pt idx="390">
                  <c:v>35643</c:v>
                </c:pt>
                <c:pt idx="391">
                  <c:v>35674</c:v>
                </c:pt>
                <c:pt idx="392">
                  <c:v>35704</c:v>
                </c:pt>
                <c:pt idx="393">
                  <c:v>35735</c:v>
                </c:pt>
                <c:pt idx="394">
                  <c:v>35765</c:v>
                </c:pt>
                <c:pt idx="395">
                  <c:v>35796</c:v>
                </c:pt>
                <c:pt idx="396">
                  <c:v>35827</c:v>
                </c:pt>
                <c:pt idx="397">
                  <c:v>35855</c:v>
                </c:pt>
                <c:pt idx="398">
                  <c:v>35886</c:v>
                </c:pt>
                <c:pt idx="399">
                  <c:v>35916</c:v>
                </c:pt>
                <c:pt idx="400">
                  <c:v>35947</c:v>
                </c:pt>
                <c:pt idx="401">
                  <c:v>35977</c:v>
                </c:pt>
                <c:pt idx="402">
                  <c:v>36008</c:v>
                </c:pt>
                <c:pt idx="403">
                  <c:v>36039</c:v>
                </c:pt>
                <c:pt idx="404">
                  <c:v>36069</c:v>
                </c:pt>
                <c:pt idx="405">
                  <c:v>36100</c:v>
                </c:pt>
                <c:pt idx="406">
                  <c:v>36130</c:v>
                </c:pt>
                <c:pt idx="407">
                  <c:v>36161</c:v>
                </c:pt>
                <c:pt idx="408">
                  <c:v>36192</c:v>
                </c:pt>
                <c:pt idx="409">
                  <c:v>36220</c:v>
                </c:pt>
                <c:pt idx="410">
                  <c:v>36251</c:v>
                </c:pt>
                <c:pt idx="411">
                  <c:v>36281</c:v>
                </c:pt>
                <c:pt idx="412">
                  <c:v>36312</c:v>
                </c:pt>
                <c:pt idx="413">
                  <c:v>36342</c:v>
                </c:pt>
                <c:pt idx="414">
                  <c:v>36373</c:v>
                </c:pt>
                <c:pt idx="415">
                  <c:v>36404</c:v>
                </c:pt>
                <c:pt idx="416">
                  <c:v>36434</c:v>
                </c:pt>
                <c:pt idx="417">
                  <c:v>36465</c:v>
                </c:pt>
                <c:pt idx="418">
                  <c:v>36495</c:v>
                </c:pt>
                <c:pt idx="419">
                  <c:v>36526</c:v>
                </c:pt>
                <c:pt idx="420">
                  <c:v>36557</c:v>
                </c:pt>
                <c:pt idx="421">
                  <c:v>36586</c:v>
                </c:pt>
                <c:pt idx="422">
                  <c:v>36617</c:v>
                </c:pt>
                <c:pt idx="423">
                  <c:v>36647</c:v>
                </c:pt>
                <c:pt idx="424">
                  <c:v>36678</c:v>
                </c:pt>
                <c:pt idx="425">
                  <c:v>36708</c:v>
                </c:pt>
                <c:pt idx="426">
                  <c:v>36739</c:v>
                </c:pt>
                <c:pt idx="427">
                  <c:v>36770</c:v>
                </c:pt>
                <c:pt idx="428">
                  <c:v>36800</c:v>
                </c:pt>
                <c:pt idx="429">
                  <c:v>36831</c:v>
                </c:pt>
                <c:pt idx="430">
                  <c:v>36861</c:v>
                </c:pt>
                <c:pt idx="431">
                  <c:v>36892</c:v>
                </c:pt>
                <c:pt idx="432">
                  <c:v>36923</c:v>
                </c:pt>
                <c:pt idx="433">
                  <c:v>36951</c:v>
                </c:pt>
                <c:pt idx="434">
                  <c:v>36982</c:v>
                </c:pt>
                <c:pt idx="435">
                  <c:v>37012</c:v>
                </c:pt>
                <c:pt idx="436">
                  <c:v>37043</c:v>
                </c:pt>
                <c:pt idx="437">
                  <c:v>37073</c:v>
                </c:pt>
                <c:pt idx="438">
                  <c:v>37104</c:v>
                </c:pt>
                <c:pt idx="439">
                  <c:v>37135</c:v>
                </c:pt>
                <c:pt idx="440">
                  <c:v>37165</c:v>
                </c:pt>
                <c:pt idx="441">
                  <c:v>37196</c:v>
                </c:pt>
                <c:pt idx="442">
                  <c:v>37226</c:v>
                </c:pt>
                <c:pt idx="443">
                  <c:v>37257</c:v>
                </c:pt>
                <c:pt idx="444">
                  <c:v>37288</c:v>
                </c:pt>
                <c:pt idx="445">
                  <c:v>37316</c:v>
                </c:pt>
                <c:pt idx="446">
                  <c:v>37347</c:v>
                </c:pt>
                <c:pt idx="447">
                  <c:v>37377</c:v>
                </c:pt>
                <c:pt idx="448">
                  <c:v>37408</c:v>
                </c:pt>
                <c:pt idx="449">
                  <c:v>37438</c:v>
                </c:pt>
                <c:pt idx="450">
                  <c:v>37469</c:v>
                </c:pt>
                <c:pt idx="451">
                  <c:v>37500</c:v>
                </c:pt>
                <c:pt idx="452">
                  <c:v>37530</c:v>
                </c:pt>
                <c:pt idx="453">
                  <c:v>37561</c:v>
                </c:pt>
                <c:pt idx="454">
                  <c:v>37591</c:v>
                </c:pt>
                <c:pt idx="455">
                  <c:v>37622</c:v>
                </c:pt>
                <c:pt idx="456">
                  <c:v>37653</c:v>
                </c:pt>
                <c:pt idx="457">
                  <c:v>37681</c:v>
                </c:pt>
                <c:pt idx="458">
                  <c:v>37712</c:v>
                </c:pt>
                <c:pt idx="459">
                  <c:v>37742</c:v>
                </c:pt>
                <c:pt idx="460">
                  <c:v>37773</c:v>
                </c:pt>
                <c:pt idx="461">
                  <c:v>37803</c:v>
                </c:pt>
                <c:pt idx="462">
                  <c:v>37834</c:v>
                </c:pt>
                <c:pt idx="463">
                  <c:v>37865</c:v>
                </c:pt>
                <c:pt idx="464">
                  <c:v>37895</c:v>
                </c:pt>
                <c:pt idx="465">
                  <c:v>37926</c:v>
                </c:pt>
                <c:pt idx="466">
                  <c:v>37956</c:v>
                </c:pt>
                <c:pt idx="467">
                  <c:v>37987</c:v>
                </c:pt>
                <c:pt idx="468">
                  <c:v>38018</c:v>
                </c:pt>
                <c:pt idx="469">
                  <c:v>38047</c:v>
                </c:pt>
                <c:pt idx="470">
                  <c:v>38078</c:v>
                </c:pt>
                <c:pt idx="471">
                  <c:v>38108</c:v>
                </c:pt>
                <c:pt idx="472">
                  <c:v>38139</c:v>
                </c:pt>
                <c:pt idx="473">
                  <c:v>38169</c:v>
                </c:pt>
                <c:pt idx="474">
                  <c:v>38200</c:v>
                </c:pt>
                <c:pt idx="475">
                  <c:v>38231</c:v>
                </c:pt>
                <c:pt idx="476">
                  <c:v>38261</c:v>
                </c:pt>
                <c:pt idx="477">
                  <c:v>38292</c:v>
                </c:pt>
                <c:pt idx="478">
                  <c:v>38322</c:v>
                </c:pt>
                <c:pt idx="479">
                  <c:v>38353</c:v>
                </c:pt>
                <c:pt idx="480">
                  <c:v>38384</c:v>
                </c:pt>
                <c:pt idx="481">
                  <c:v>38412</c:v>
                </c:pt>
                <c:pt idx="482">
                  <c:v>38443</c:v>
                </c:pt>
                <c:pt idx="483">
                  <c:v>38473</c:v>
                </c:pt>
                <c:pt idx="484">
                  <c:v>38504</c:v>
                </c:pt>
                <c:pt idx="485">
                  <c:v>38534</c:v>
                </c:pt>
                <c:pt idx="486">
                  <c:v>38565</c:v>
                </c:pt>
                <c:pt idx="487">
                  <c:v>38596</c:v>
                </c:pt>
                <c:pt idx="488">
                  <c:v>38626</c:v>
                </c:pt>
                <c:pt idx="489">
                  <c:v>38657</c:v>
                </c:pt>
                <c:pt idx="490">
                  <c:v>38687</c:v>
                </c:pt>
                <c:pt idx="491">
                  <c:v>38718</c:v>
                </c:pt>
                <c:pt idx="492">
                  <c:v>38749</c:v>
                </c:pt>
                <c:pt idx="493">
                  <c:v>38777</c:v>
                </c:pt>
                <c:pt idx="494">
                  <c:v>38808</c:v>
                </c:pt>
                <c:pt idx="495">
                  <c:v>38838</c:v>
                </c:pt>
                <c:pt idx="496">
                  <c:v>38869</c:v>
                </c:pt>
                <c:pt idx="497">
                  <c:v>38899</c:v>
                </c:pt>
                <c:pt idx="498">
                  <c:v>38930</c:v>
                </c:pt>
                <c:pt idx="499">
                  <c:v>38961</c:v>
                </c:pt>
                <c:pt idx="500">
                  <c:v>38991</c:v>
                </c:pt>
                <c:pt idx="501">
                  <c:v>39022</c:v>
                </c:pt>
                <c:pt idx="502">
                  <c:v>39052</c:v>
                </c:pt>
                <c:pt idx="503">
                  <c:v>39083</c:v>
                </c:pt>
                <c:pt idx="504">
                  <c:v>39114</c:v>
                </c:pt>
                <c:pt idx="505">
                  <c:v>39142</c:v>
                </c:pt>
                <c:pt idx="506">
                  <c:v>39173</c:v>
                </c:pt>
                <c:pt idx="507">
                  <c:v>39203</c:v>
                </c:pt>
                <c:pt idx="508">
                  <c:v>39234</c:v>
                </c:pt>
                <c:pt idx="509">
                  <c:v>39264</c:v>
                </c:pt>
                <c:pt idx="510">
                  <c:v>39295</c:v>
                </c:pt>
                <c:pt idx="511">
                  <c:v>39326</c:v>
                </c:pt>
                <c:pt idx="512">
                  <c:v>39356</c:v>
                </c:pt>
                <c:pt idx="513">
                  <c:v>39387</c:v>
                </c:pt>
                <c:pt idx="514">
                  <c:v>39417</c:v>
                </c:pt>
                <c:pt idx="515">
                  <c:v>39448</c:v>
                </c:pt>
                <c:pt idx="516">
                  <c:v>39479</c:v>
                </c:pt>
                <c:pt idx="517">
                  <c:v>39508</c:v>
                </c:pt>
                <c:pt idx="518">
                  <c:v>39539</c:v>
                </c:pt>
                <c:pt idx="519">
                  <c:v>39569</c:v>
                </c:pt>
                <c:pt idx="520">
                  <c:v>39600</c:v>
                </c:pt>
                <c:pt idx="521">
                  <c:v>39630</c:v>
                </c:pt>
                <c:pt idx="522">
                  <c:v>39661</c:v>
                </c:pt>
                <c:pt idx="523">
                  <c:v>39692</c:v>
                </c:pt>
                <c:pt idx="524">
                  <c:v>39722</c:v>
                </c:pt>
                <c:pt idx="525">
                  <c:v>39753</c:v>
                </c:pt>
                <c:pt idx="526">
                  <c:v>39783</c:v>
                </c:pt>
                <c:pt idx="527">
                  <c:v>39814</c:v>
                </c:pt>
                <c:pt idx="528">
                  <c:v>39845</c:v>
                </c:pt>
                <c:pt idx="529">
                  <c:v>39873</c:v>
                </c:pt>
                <c:pt idx="530">
                  <c:v>39904</c:v>
                </c:pt>
                <c:pt idx="531">
                  <c:v>39934</c:v>
                </c:pt>
                <c:pt idx="532">
                  <c:v>39965</c:v>
                </c:pt>
                <c:pt idx="533">
                  <c:v>39995</c:v>
                </c:pt>
                <c:pt idx="534">
                  <c:v>40026</c:v>
                </c:pt>
                <c:pt idx="535">
                  <c:v>40057</c:v>
                </c:pt>
                <c:pt idx="536">
                  <c:v>40087</c:v>
                </c:pt>
                <c:pt idx="537">
                  <c:v>40118</c:v>
                </c:pt>
                <c:pt idx="538">
                  <c:v>40148</c:v>
                </c:pt>
                <c:pt idx="539">
                  <c:v>40179</c:v>
                </c:pt>
                <c:pt idx="540">
                  <c:v>40210</c:v>
                </c:pt>
                <c:pt idx="541">
                  <c:v>40238</c:v>
                </c:pt>
                <c:pt idx="542">
                  <c:v>40269</c:v>
                </c:pt>
                <c:pt idx="543">
                  <c:v>40299</c:v>
                </c:pt>
                <c:pt idx="544">
                  <c:v>40330</c:v>
                </c:pt>
                <c:pt idx="545">
                  <c:v>40360</c:v>
                </c:pt>
                <c:pt idx="546">
                  <c:v>40391</c:v>
                </c:pt>
                <c:pt idx="547">
                  <c:v>40422</c:v>
                </c:pt>
                <c:pt idx="548">
                  <c:v>40452</c:v>
                </c:pt>
                <c:pt idx="549">
                  <c:v>40483</c:v>
                </c:pt>
                <c:pt idx="550">
                  <c:v>40513</c:v>
                </c:pt>
                <c:pt idx="551">
                  <c:v>40544</c:v>
                </c:pt>
                <c:pt idx="552">
                  <c:v>40575</c:v>
                </c:pt>
                <c:pt idx="553">
                  <c:v>40603</c:v>
                </c:pt>
                <c:pt idx="554">
                  <c:v>40634</c:v>
                </c:pt>
                <c:pt idx="555">
                  <c:v>40664</c:v>
                </c:pt>
                <c:pt idx="556">
                  <c:v>40695</c:v>
                </c:pt>
                <c:pt idx="557">
                  <c:v>40725</c:v>
                </c:pt>
                <c:pt idx="558">
                  <c:v>40756</c:v>
                </c:pt>
                <c:pt idx="559">
                  <c:v>40787</c:v>
                </c:pt>
                <c:pt idx="560">
                  <c:v>40817</c:v>
                </c:pt>
                <c:pt idx="561">
                  <c:v>40848</c:v>
                </c:pt>
                <c:pt idx="562">
                  <c:v>40878</c:v>
                </c:pt>
                <c:pt idx="563">
                  <c:v>40909</c:v>
                </c:pt>
                <c:pt idx="564">
                  <c:v>40940</c:v>
                </c:pt>
                <c:pt idx="565">
                  <c:v>40969</c:v>
                </c:pt>
                <c:pt idx="566">
                  <c:v>41000</c:v>
                </c:pt>
                <c:pt idx="567">
                  <c:v>41030</c:v>
                </c:pt>
                <c:pt idx="568">
                  <c:v>41061</c:v>
                </c:pt>
                <c:pt idx="569">
                  <c:v>41091</c:v>
                </c:pt>
                <c:pt idx="570">
                  <c:v>41122</c:v>
                </c:pt>
                <c:pt idx="571">
                  <c:v>41153</c:v>
                </c:pt>
                <c:pt idx="572">
                  <c:v>41183</c:v>
                </c:pt>
                <c:pt idx="573">
                  <c:v>41214</c:v>
                </c:pt>
                <c:pt idx="574">
                  <c:v>41244</c:v>
                </c:pt>
                <c:pt idx="575">
                  <c:v>41275</c:v>
                </c:pt>
                <c:pt idx="576">
                  <c:v>41306</c:v>
                </c:pt>
                <c:pt idx="577">
                  <c:v>41334</c:v>
                </c:pt>
                <c:pt idx="578">
                  <c:v>41365</c:v>
                </c:pt>
                <c:pt idx="579">
                  <c:v>41395</c:v>
                </c:pt>
                <c:pt idx="580">
                  <c:v>41426</c:v>
                </c:pt>
                <c:pt idx="581">
                  <c:v>41456</c:v>
                </c:pt>
                <c:pt idx="582">
                  <c:v>41487</c:v>
                </c:pt>
                <c:pt idx="583">
                  <c:v>41518</c:v>
                </c:pt>
                <c:pt idx="584">
                  <c:v>41548</c:v>
                </c:pt>
                <c:pt idx="585">
                  <c:v>41579</c:v>
                </c:pt>
                <c:pt idx="586">
                  <c:v>41609</c:v>
                </c:pt>
                <c:pt idx="587">
                  <c:v>41640</c:v>
                </c:pt>
                <c:pt idx="588">
                  <c:v>41671</c:v>
                </c:pt>
                <c:pt idx="589">
                  <c:v>41699</c:v>
                </c:pt>
                <c:pt idx="590">
                  <c:v>41730</c:v>
                </c:pt>
                <c:pt idx="591">
                  <c:v>41760</c:v>
                </c:pt>
                <c:pt idx="592">
                  <c:v>41791</c:v>
                </c:pt>
                <c:pt idx="593">
                  <c:v>41821</c:v>
                </c:pt>
                <c:pt idx="594">
                  <c:v>41852</c:v>
                </c:pt>
                <c:pt idx="595">
                  <c:v>41883</c:v>
                </c:pt>
                <c:pt idx="596">
                  <c:v>41913</c:v>
                </c:pt>
                <c:pt idx="597">
                  <c:v>41944</c:v>
                </c:pt>
                <c:pt idx="598">
                  <c:v>41974</c:v>
                </c:pt>
                <c:pt idx="599">
                  <c:v>42005</c:v>
                </c:pt>
                <c:pt idx="600">
                  <c:v>42036</c:v>
                </c:pt>
                <c:pt idx="601">
                  <c:v>42064</c:v>
                </c:pt>
                <c:pt idx="602">
                  <c:v>42095</c:v>
                </c:pt>
                <c:pt idx="603">
                  <c:v>42125</c:v>
                </c:pt>
                <c:pt idx="604">
                  <c:v>42156</c:v>
                </c:pt>
                <c:pt idx="605">
                  <c:v>42186</c:v>
                </c:pt>
                <c:pt idx="606">
                  <c:v>42217</c:v>
                </c:pt>
                <c:pt idx="607">
                  <c:v>42248</c:v>
                </c:pt>
                <c:pt idx="608">
                  <c:v>42278</c:v>
                </c:pt>
                <c:pt idx="609">
                  <c:v>42309</c:v>
                </c:pt>
                <c:pt idx="610">
                  <c:v>42339</c:v>
                </c:pt>
                <c:pt idx="611">
                  <c:v>42370</c:v>
                </c:pt>
                <c:pt idx="612">
                  <c:v>42401</c:v>
                </c:pt>
                <c:pt idx="613">
                  <c:v>42430</c:v>
                </c:pt>
                <c:pt idx="614">
                  <c:v>42461</c:v>
                </c:pt>
                <c:pt idx="615">
                  <c:v>42491</c:v>
                </c:pt>
                <c:pt idx="616">
                  <c:v>42522</c:v>
                </c:pt>
                <c:pt idx="617">
                  <c:v>42552</c:v>
                </c:pt>
                <c:pt idx="618">
                  <c:v>42583</c:v>
                </c:pt>
                <c:pt idx="619">
                  <c:v>42614</c:v>
                </c:pt>
                <c:pt idx="620">
                  <c:v>42644</c:v>
                </c:pt>
                <c:pt idx="621">
                  <c:v>42675</c:v>
                </c:pt>
                <c:pt idx="622">
                  <c:v>42705</c:v>
                </c:pt>
                <c:pt idx="623">
                  <c:v>42736</c:v>
                </c:pt>
                <c:pt idx="624">
                  <c:v>42767</c:v>
                </c:pt>
                <c:pt idx="625">
                  <c:v>42795</c:v>
                </c:pt>
                <c:pt idx="626">
                  <c:v>42826</c:v>
                </c:pt>
                <c:pt idx="627">
                  <c:v>42856</c:v>
                </c:pt>
                <c:pt idx="628">
                  <c:v>42887</c:v>
                </c:pt>
                <c:pt idx="629">
                  <c:v>42917</c:v>
                </c:pt>
                <c:pt idx="630">
                  <c:v>42948</c:v>
                </c:pt>
                <c:pt idx="631">
                  <c:v>42979</c:v>
                </c:pt>
                <c:pt idx="632">
                  <c:v>43009</c:v>
                </c:pt>
                <c:pt idx="633">
                  <c:v>43040</c:v>
                </c:pt>
                <c:pt idx="634">
                  <c:v>43070</c:v>
                </c:pt>
                <c:pt idx="635">
                  <c:v>43101</c:v>
                </c:pt>
                <c:pt idx="636">
                  <c:v>43132</c:v>
                </c:pt>
                <c:pt idx="637">
                  <c:v>43160</c:v>
                </c:pt>
                <c:pt idx="638">
                  <c:v>43191</c:v>
                </c:pt>
                <c:pt idx="639">
                  <c:v>43221</c:v>
                </c:pt>
                <c:pt idx="640">
                  <c:v>43252</c:v>
                </c:pt>
                <c:pt idx="641">
                  <c:v>43282</c:v>
                </c:pt>
                <c:pt idx="642">
                  <c:v>43313</c:v>
                </c:pt>
                <c:pt idx="643">
                  <c:v>43344</c:v>
                </c:pt>
                <c:pt idx="644">
                  <c:v>43374</c:v>
                </c:pt>
                <c:pt idx="645">
                  <c:v>43405</c:v>
                </c:pt>
                <c:pt idx="646">
                  <c:v>43435</c:v>
                </c:pt>
                <c:pt idx="647">
                  <c:v>43466</c:v>
                </c:pt>
                <c:pt idx="648">
                  <c:v>43497</c:v>
                </c:pt>
                <c:pt idx="649">
                  <c:v>43525</c:v>
                </c:pt>
                <c:pt idx="650">
                  <c:v>43556</c:v>
                </c:pt>
                <c:pt idx="651">
                  <c:v>43586</c:v>
                </c:pt>
                <c:pt idx="652">
                  <c:v>43617</c:v>
                </c:pt>
                <c:pt idx="653">
                  <c:v>43647</c:v>
                </c:pt>
                <c:pt idx="654">
                  <c:v>43678</c:v>
                </c:pt>
                <c:pt idx="655">
                  <c:v>43709</c:v>
                </c:pt>
                <c:pt idx="656">
                  <c:v>43739</c:v>
                </c:pt>
                <c:pt idx="657">
                  <c:v>43770</c:v>
                </c:pt>
                <c:pt idx="658">
                  <c:v>43800</c:v>
                </c:pt>
                <c:pt idx="659">
                  <c:v>43831</c:v>
                </c:pt>
                <c:pt idx="660">
                  <c:v>43862</c:v>
                </c:pt>
                <c:pt idx="661">
                  <c:v>43891</c:v>
                </c:pt>
                <c:pt idx="662">
                  <c:v>43922</c:v>
                </c:pt>
                <c:pt idx="663">
                  <c:v>43952</c:v>
                </c:pt>
                <c:pt idx="664">
                  <c:v>43983</c:v>
                </c:pt>
                <c:pt idx="665">
                  <c:v>44013</c:v>
                </c:pt>
                <c:pt idx="666">
                  <c:v>44044</c:v>
                </c:pt>
                <c:pt idx="667">
                  <c:v>44075</c:v>
                </c:pt>
                <c:pt idx="668">
                  <c:v>44105</c:v>
                </c:pt>
                <c:pt idx="669">
                  <c:v>44136</c:v>
                </c:pt>
                <c:pt idx="670">
                  <c:v>44166</c:v>
                </c:pt>
                <c:pt idx="671">
                  <c:v>44197</c:v>
                </c:pt>
                <c:pt idx="672">
                  <c:v>44228</c:v>
                </c:pt>
                <c:pt idx="673">
                  <c:v>44256</c:v>
                </c:pt>
                <c:pt idx="674">
                  <c:v>44287</c:v>
                </c:pt>
                <c:pt idx="675">
                  <c:v>44317</c:v>
                </c:pt>
                <c:pt idx="676">
                  <c:v>44348</c:v>
                </c:pt>
                <c:pt idx="677">
                  <c:v>44378</c:v>
                </c:pt>
                <c:pt idx="678">
                  <c:v>44409</c:v>
                </c:pt>
                <c:pt idx="679">
                  <c:v>44440</c:v>
                </c:pt>
                <c:pt idx="680">
                  <c:v>44470</c:v>
                </c:pt>
                <c:pt idx="681">
                  <c:v>44501</c:v>
                </c:pt>
                <c:pt idx="682">
                  <c:v>44531</c:v>
                </c:pt>
                <c:pt idx="683">
                  <c:v>44562</c:v>
                </c:pt>
                <c:pt idx="684">
                  <c:v>44593</c:v>
                </c:pt>
                <c:pt idx="685">
                  <c:v>44621</c:v>
                </c:pt>
                <c:pt idx="686">
                  <c:v>44652</c:v>
                </c:pt>
                <c:pt idx="687">
                  <c:v>44682</c:v>
                </c:pt>
                <c:pt idx="688">
                  <c:v>44713</c:v>
                </c:pt>
                <c:pt idx="689">
                  <c:v>44743</c:v>
                </c:pt>
                <c:pt idx="690">
                  <c:v>44774</c:v>
                </c:pt>
                <c:pt idx="691">
                  <c:v>44805</c:v>
                </c:pt>
                <c:pt idx="692">
                  <c:v>44835</c:v>
                </c:pt>
                <c:pt idx="693">
                  <c:v>44866</c:v>
                </c:pt>
                <c:pt idx="694">
                  <c:v>44896</c:v>
                </c:pt>
                <c:pt idx="695">
                  <c:v>44927</c:v>
                </c:pt>
                <c:pt idx="696">
                  <c:v>44958</c:v>
                </c:pt>
                <c:pt idx="697">
                  <c:v>44986</c:v>
                </c:pt>
                <c:pt idx="698">
                  <c:v>45017</c:v>
                </c:pt>
                <c:pt idx="699">
                  <c:v>45047</c:v>
                </c:pt>
                <c:pt idx="700">
                  <c:v>45078</c:v>
                </c:pt>
                <c:pt idx="701">
                  <c:v>45108</c:v>
                </c:pt>
                <c:pt idx="702">
                  <c:v>45139</c:v>
                </c:pt>
                <c:pt idx="703">
                  <c:v>45170</c:v>
                </c:pt>
                <c:pt idx="704">
                  <c:v>45200</c:v>
                </c:pt>
                <c:pt idx="705">
                  <c:v>45231</c:v>
                </c:pt>
                <c:pt idx="706">
                  <c:v>45261</c:v>
                </c:pt>
                <c:pt idx="707">
                  <c:v>45292</c:v>
                </c:pt>
                <c:pt idx="708">
                  <c:v>45323</c:v>
                </c:pt>
                <c:pt idx="709">
                  <c:v>45352</c:v>
                </c:pt>
                <c:pt idx="710">
                  <c:v>45383</c:v>
                </c:pt>
                <c:pt idx="711">
                  <c:v>45413</c:v>
                </c:pt>
                <c:pt idx="712">
                  <c:v>45444</c:v>
                </c:pt>
                <c:pt idx="713">
                  <c:v>45474</c:v>
                </c:pt>
                <c:pt idx="714">
                  <c:v>45505</c:v>
                </c:pt>
                <c:pt idx="715">
                  <c:v>45536</c:v>
                </c:pt>
                <c:pt idx="716">
                  <c:v>45566</c:v>
                </c:pt>
                <c:pt idx="717">
                  <c:v>45597</c:v>
                </c:pt>
                <c:pt idx="718">
                  <c:v>45627</c:v>
                </c:pt>
                <c:pt idx="719">
                  <c:v>45658</c:v>
                </c:pt>
                <c:pt idx="720">
                  <c:v>45689</c:v>
                </c:pt>
                <c:pt idx="721">
                  <c:v>45717</c:v>
                </c:pt>
                <c:pt idx="722">
                  <c:v>45748</c:v>
                </c:pt>
                <c:pt idx="723">
                  <c:v>45778</c:v>
                </c:pt>
                <c:pt idx="724">
                  <c:v>45809</c:v>
                </c:pt>
                <c:pt idx="725">
                  <c:v>45839</c:v>
                </c:pt>
                <c:pt idx="726">
                  <c:v>45870</c:v>
                </c:pt>
                <c:pt idx="727">
                  <c:v>45901</c:v>
                </c:pt>
                <c:pt idx="728">
                  <c:v>45931</c:v>
                </c:pt>
                <c:pt idx="729">
                  <c:v>45962</c:v>
                </c:pt>
              </c:numCache>
            </c:numRef>
          </c:cat>
          <c:val>
            <c:numRef>
              <c:f>Sheet1!$H$603:$H$1332</c:f>
              <c:numCache>
                <c:formatCode>General</c:formatCode>
                <c:ptCount val="7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10000</c:v>
                </c:pt>
                <c:pt idx="226">
                  <c:v>10000</c:v>
                </c:pt>
                <c:pt idx="227">
                  <c:v>10000</c:v>
                </c:pt>
                <c:pt idx="228">
                  <c:v>10000</c:v>
                </c:pt>
                <c:pt idx="229">
                  <c:v>10000</c:v>
                </c:pt>
                <c:pt idx="230">
                  <c:v>10000</c:v>
                </c:pt>
                <c:pt idx="231">
                  <c:v>10000</c:v>
                </c:pt>
                <c:pt idx="232">
                  <c:v>10000</c:v>
                </c:pt>
                <c:pt idx="233">
                  <c:v>10000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10000</c:v>
                </c:pt>
                <c:pt idx="259">
                  <c:v>10000</c:v>
                </c:pt>
                <c:pt idx="260">
                  <c:v>10000</c:v>
                </c:pt>
                <c:pt idx="261">
                  <c:v>10000</c:v>
                </c:pt>
                <c:pt idx="262">
                  <c:v>10000</c:v>
                </c:pt>
                <c:pt idx="263">
                  <c:v>10000</c:v>
                </c:pt>
                <c:pt idx="264">
                  <c:v>10000</c:v>
                </c:pt>
                <c:pt idx="265">
                  <c:v>10000</c:v>
                </c:pt>
                <c:pt idx="266">
                  <c:v>10000</c:v>
                </c:pt>
                <c:pt idx="267">
                  <c:v>10000</c:v>
                </c:pt>
                <c:pt idx="268">
                  <c:v>10000</c:v>
                </c:pt>
                <c:pt idx="269">
                  <c:v>10000</c:v>
                </c:pt>
                <c:pt idx="270">
                  <c:v>10000</c:v>
                </c:pt>
                <c:pt idx="271">
                  <c:v>10000</c:v>
                </c:pt>
                <c:pt idx="272">
                  <c:v>10000</c:v>
                </c:pt>
                <c:pt idx="273">
                  <c:v>10000</c:v>
                </c:pt>
                <c:pt idx="274">
                  <c:v>10000</c:v>
                </c:pt>
                <c:pt idx="275">
                  <c:v>10000</c:v>
                </c:pt>
                <c:pt idx="276">
                  <c:v>10000</c:v>
                </c:pt>
                <c:pt idx="277">
                  <c:v>10000</c:v>
                </c:pt>
                <c:pt idx="278">
                  <c:v>10000</c:v>
                </c:pt>
                <c:pt idx="279">
                  <c:v>10000</c:v>
                </c:pt>
                <c:pt idx="280">
                  <c:v>10000</c:v>
                </c:pt>
                <c:pt idx="281">
                  <c:v>10000</c:v>
                </c:pt>
                <c:pt idx="282">
                  <c:v>10000</c:v>
                </c:pt>
                <c:pt idx="283">
                  <c:v>10000</c:v>
                </c:pt>
                <c:pt idx="284">
                  <c:v>10000</c:v>
                </c:pt>
                <c:pt idx="285">
                  <c:v>10000</c:v>
                </c:pt>
                <c:pt idx="286">
                  <c:v>10000</c:v>
                </c:pt>
                <c:pt idx="287">
                  <c:v>10000</c:v>
                </c:pt>
                <c:pt idx="288">
                  <c:v>10000</c:v>
                </c:pt>
                <c:pt idx="289">
                  <c:v>10000</c:v>
                </c:pt>
                <c:pt idx="290">
                  <c:v>10000</c:v>
                </c:pt>
                <c:pt idx="291">
                  <c:v>10000</c:v>
                </c:pt>
                <c:pt idx="292">
                  <c:v>10000</c:v>
                </c:pt>
                <c:pt idx="293">
                  <c:v>10000</c:v>
                </c:pt>
                <c:pt idx="294">
                  <c:v>10000</c:v>
                </c:pt>
                <c:pt idx="295">
                  <c:v>10000</c:v>
                </c:pt>
                <c:pt idx="296">
                  <c:v>10000</c:v>
                </c:pt>
                <c:pt idx="297">
                  <c:v>10000</c:v>
                </c:pt>
                <c:pt idx="298">
                  <c:v>10000</c:v>
                </c:pt>
                <c:pt idx="299">
                  <c:v>10000</c:v>
                </c:pt>
                <c:pt idx="300">
                  <c:v>10000</c:v>
                </c:pt>
                <c:pt idx="301">
                  <c:v>10000</c:v>
                </c:pt>
                <c:pt idx="302">
                  <c:v>10000</c:v>
                </c:pt>
                <c:pt idx="303">
                  <c:v>10000</c:v>
                </c:pt>
                <c:pt idx="304">
                  <c:v>10000</c:v>
                </c:pt>
                <c:pt idx="305">
                  <c:v>10000</c:v>
                </c:pt>
                <c:pt idx="306">
                  <c:v>10000</c:v>
                </c:pt>
                <c:pt idx="307">
                  <c:v>10000</c:v>
                </c:pt>
                <c:pt idx="308">
                  <c:v>10000</c:v>
                </c:pt>
                <c:pt idx="309">
                  <c:v>10000</c:v>
                </c:pt>
                <c:pt idx="310">
                  <c:v>10000</c:v>
                </c:pt>
                <c:pt idx="311">
                  <c:v>10000</c:v>
                </c:pt>
                <c:pt idx="312">
                  <c:v>10000</c:v>
                </c:pt>
                <c:pt idx="313">
                  <c:v>10000</c:v>
                </c:pt>
                <c:pt idx="314">
                  <c:v>10000</c:v>
                </c:pt>
                <c:pt idx="315">
                  <c:v>10000</c:v>
                </c:pt>
                <c:pt idx="316">
                  <c:v>10000</c:v>
                </c:pt>
                <c:pt idx="317">
                  <c:v>10000</c:v>
                </c:pt>
                <c:pt idx="318">
                  <c:v>10000</c:v>
                </c:pt>
                <c:pt idx="319">
                  <c:v>10000</c:v>
                </c:pt>
                <c:pt idx="320">
                  <c:v>10000</c:v>
                </c:pt>
                <c:pt idx="321">
                  <c:v>10000</c:v>
                </c:pt>
                <c:pt idx="322">
                  <c:v>10000</c:v>
                </c:pt>
                <c:pt idx="323">
                  <c:v>10000</c:v>
                </c:pt>
                <c:pt idx="324">
                  <c:v>10000</c:v>
                </c:pt>
                <c:pt idx="325">
                  <c:v>10000</c:v>
                </c:pt>
                <c:pt idx="326">
                  <c:v>10000</c:v>
                </c:pt>
                <c:pt idx="327">
                  <c:v>10000</c:v>
                </c:pt>
                <c:pt idx="328">
                  <c:v>10000</c:v>
                </c:pt>
                <c:pt idx="329">
                  <c:v>10000</c:v>
                </c:pt>
                <c:pt idx="330">
                  <c:v>10000</c:v>
                </c:pt>
                <c:pt idx="331">
                  <c:v>10000</c:v>
                </c:pt>
                <c:pt idx="332">
                  <c:v>10000</c:v>
                </c:pt>
                <c:pt idx="333">
                  <c:v>10000</c:v>
                </c:pt>
                <c:pt idx="334">
                  <c:v>10000</c:v>
                </c:pt>
                <c:pt idx="335">
                  <c:v>10000</c:v>
                </c:pt>
                <c:pt idx="336">
                  <c:v>10000</c:v>
                </c:pt>
                <c:pt idx="337">
                  <c:v>10000</c:v>
                </c:pt>
                <c:pt idx="338">
                  <c:v>10000</c:v>
                </c:pt>
                <c:pt idx="339">
                  <c:v>10000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10000</c:v>
                </c:pt>
                <c:pt idx="353">
                  <c:v>10000</c:v>
                </c:pt>
                <c:pt idx="354">
                  <c:v>10000</c:v>
                </c:pt>
                <c:pt idx="355">
                  <c:v>10000</c:v>
                </c:pt>
                <c:pt idx="356">
                  <c:v>10000</c:v>
                </c:pt>
                <c:pt idx="357">
                  <c:v>10000</c:v>
                </c:pt>
                <c:pt idx="358">
                  <c:v>10000</c:v>
                </c:pt>
                <c:pt idx="359">
                  <c:v>10000</c:v>
                </c:pt>
                <c:pt idx="360">
                  <c:v>10000</c:v>
                </c:pt>
                <c:pt idx="361">
                  <c:v>10000</c:v>
                </c:pt>
                <c:pt idx="362">
                  <c:v>10000</c:v>
                </c:pt>
                <c:pt idx="363">
                  <c:v>10000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10000</c:v>
                </c:pt>
                <c:pt idx="373">
                  <c:v>10000</c:v>
                </c:pt>
                <c:pt idx="374">
                  <c:v>10000</c:v>
                </c:pt>
                <c:pt idx="375">
                  <c:v>10000</c:v>
                </c:pt>
                <c:pt idx="376">
                  <c:v>10000</c:v>
                </c:pt>
                <c:pt idx="377">
                  <c:v>10000</c:v>
                </c:pt>
                <c:pt idx="378">
                  <c:v>10000</c:v>
                </c:pt>
                <c:pt idx="379">
                  <c:v>10000</c:v>
                </c:pt>
                <c:pt idx="380">
                  <c:v>10000</c:v>
                </c:pt>
                <c:pt idx="381">
                  <c:v>10000</c:v>
                </c:pt>
                <c:pt idx="382">
                  <c:v>10000</c:v>
                </c:pt>
                <c:pt idx="383">
                  <c:v>10000</c:v>
                </c:pt>
                <c:pt idx="384">
                  <c:v>10000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10000</c:v>
                </c:pt>
                <c:pt idx="396">
                  <c:v>10000</c:v>
                </c:pt>
                <c:pt idx="397">
                  <c:v>10000</c:v>
                </c:pt>
                <c:pt idx="398">
                  <c:v>10000</c:v>
                </c:pt>
                <c:pt idx="399">
                  <c:v>10000</c:v>
                </c:pt>
                <c:pt idx="400">
                  <c:v>10000</c:v>
                </c:pt>
                <c:pt idx="401">
                  <c:v>10000</c:v>
                </c:pt>
                <c:pt idx="402">
                  <c:v>10000</c:v>
                </c:pt>
                <c:pt idx="403">
                  <c:v>10000</c:v>
                </c:pt>
                <c:pt idx="404">
                  <c:v>10000</c:v>
                </c:pt>
                <c:pt idx="405">
                  <c:v>10000</c:v>
                </c:pt>
                <c:pt idx="406">
                  <c:v>10000</c:v>
                </c:pt>
                <c:pt idx="407">
                  <c:v>10000</c:v>
                </c:pt>
                <c:pt idx="408">
                  <c:v>10000</c:v>
                </c:pt>
                <c:pt idx="409">
                  <c:v>10000</c:v>
                </c:pt>
                <c:pt idx="410">
                  <c:v>10000</c:v>
                </c:pt>
                <c:pt idx="411">
                  <c:v>10000</c:v>
                </c:pt>
                <c:pt idx="412">
                  <c:v>10000</c:v>
                </c:pt>
                <c:pt idx="413">
                  <c:v>10000</c:v>
                </c:pt>
                <c:pt idx="414">
                  <c:v>10000</c:v>
                </c:pt>
                <c:pt idx="415">
                  <c:v>10000</c:v>
                </c:pt>
                <c:pt idx="416">
                  <c:v>10000</c:v>
                </c:pt>
                <c:pt idx="417">
                  <c:v>10000</c:v>
                </c:pt>
                <c:pt idx="418">
                  <c:v>10000</c:v>
                </c:pt>
                <c:pt idx="419">
                  <c:v>10000</c:v>
                </c:pt>
                <c:pt idx="420">
                  <c:v>10000</c:v>
                </c:pt>
                <c:pt idx="421">
                  <c:v>10000</c:v>
                </c:pt>
                <c:pt idx="422">
                  <c:v>10000</c:v>
                </c:pt>
                <c:pt idx="423">
                  <c:v>10000</c:v>
                </c:pt>
                <c:pt idx="424">
                  <c:v>10000</c:v>
                </c:pt>
                <c:pt idx="425">
                  <c:v>10000</c:v>
                </c:pt>
                <c:pt idx="426">
                  <c:v>10000</c:v>
                </c:pt>
                <c:pt idx="427">
                  <c:v>10000</c:v>
                </c:pt>
                <c:pt idx="428">
                  <c:v>10000</c:v>
                </c:pt>
                <c:pt idx="429">
                  <c:v>10000</c:v>
                </c:pt>
                <c:pt idx="430">
                  <c:v>10000</c:v>
                </c:pt>
                <c:pt idx="431">
                  <c:v>10000</c:v>
                </c:pt>
                <c:pt idx="432">
                  <c:v>10000</c:v>
                </c:pt>
                <c:pt idx="433">
                  <c:v>10000</c:v>
                </c:pt>
                <c:pt idx="434">
                  <c:v>10000</c:v>
                </c:pt>
                <c:pt idx="435">
                  <c:v>10000</c:v>
                </c:pt>
                <c:pt idx="436">
                  <c:v>10000</c:v>
                </c:pt>
                <c:pt idx="437">
                  <c:v>10000</c:v>
                </c:pt>
                <c:pt idx="438">
                  <c:v>10000</c:v>
                </c:pt>
                <c:pt idx="439">
                  <c:v>10000</c:v>
                </c:pt>
                <c:pt idx="440">
                  <c:v>10000</c:v>
                </c:pt>
                <c:pt idx="441">
                  <c:v>10000</c:v>
                </c:pt>
                <c:pt idx="442">
                  <c:v>10000</c:v>
                </c:pt>
                <c:pt idx="443">
                  <c:v>10000</c:v>
                </c:pt>
                <c:pt idx="444">
                  <c:v>10000</c:v>
                </c:pt>
                <c:pt idx="445">
                  <c:v>10000</c:v>
                </c:pt>
                <c:pt idx="446">
                  <c:v>10000</c:v>
                </c:pt>
                <c:pt idx="447">
                  <c:v>10000</c:v>
                </c:pt>
                <c:pt idx="448">
                  <c:v>10000</c:v>
                </c:pt>
                <c:pt idx="449">
                  <c:v>10000</c:v>
                </c:pt>
                <c:pt idx="450">
                  <c:v>10000</c:v>
                </c:pt>
                <c:pt idx="451">
                  <c:v>10000</c:v>
                </c:pt>
                <c:pt idx="452">
                  <c:v>10000</c:v>
                </c:pt>
                <c:pt idx="453">
                  <c:v>10000</c:v>
                </c:pt>
                <c:pt idx="454">
                  <c:v>10000</c:v>
                </c:pt>
                <c:pt idx="455">
                  <c:v>10000</c:v>
                </c:pt>
                <c:pt idx="456">
                  <c:v>10000</c:v>
                </c:pt>
                <c:pt idx="457">
                  <c:v>10000</c:v>
                </c:pt>
                <c:pt idx="458">
                  <c:v>10000</c:v>
                </c:pt>
                <c:pt idx="459">
                  <c:v>10000</c:v>
                </c:pt>
                <c:pt idx="460">
                  <c:v>10000</c:v>
                </c:pt>
                <c:pt idx="461">
                  <c:v>10000</c:v>
                </c:pt>
                <c:pt idx="462">
                  <c:v>10000</c:v>
                </c:pt>
                <c:pt idx="463">
                  <c:v>10000</c:v>
                </c:pt>
                <c:pt idx="464">
                  <c:v>10000</c:v>
                </c:pt>
                <c:pt idx="465">
                  <c:v>10000</c:v>
                </c:pt>
                <c:pt idx="466">
                  <c:v>10000</c:v>
                </c:pt>
                <c:pt idx="467">
                  <c:v>10000</c:v>
                </c:pt>
                <c:pt idx="468">
                  <c:v>10000</c:v>
                </c:pt>
                <c:pt idx="469">
                  <c:v>10000</c:v>
                </c:pt>
                <c:pt idx="470">
                  <c:v>10000</c:v>
                </c:pt>
                <c:pt idx="471">
                  <c:v>10000</c:v>
                </c:pt>
                <c:pt idx="472">
                  <c:v>10000</c:v>
                </c:pt>
                <c:pt idx="473">
                  <c:v>10000</c:v>
                </c:pt>
                <c:pt idx="474">
                  <c:v>10000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10000</c:v>
                </c:pt>
                <c:pt idx="481">
                  <c:v>10000</c:v>
                </c:pt>
                <c:pt idx="482">
                  <c:v>10000</c:v>
                </c:pt>
                <c:pt idx="483">
                  <c:v>10000</c:v>
                </c:pt>
                <c:pt idx="484">
                  <c:v>10000</c:v>
                </c:pt>
                <c:pt idx="485">
                  <c:v>10000</c:v>
                </c:pt>
                <c:pt idx="486">
                  <c:v>10000</c:v>
                </c:pt>
                <c:pt idx="487">
                  <c:v>10000</c:v>
                </c:pt>
                <c:pt idx="488">
                  <c:v>10000</c:v>
                </c:pt>
                <c:pt idx="489">
                  <c:v>10000</c:v>
                </c:pt>
                <c:pt idx="490">
                  <c:v>10000</c:v>
                </c:pt>
                <c:pt idx="491">
                  <c:v>10000</c:v>
                </c:pt>
                <c:pt idx="492">
                  <c:v>10000</c:v>
                </c:pt>
                <c:pt idx="493">
                  <c:v>10000</c:v>
                </c:pt>
                <c:pt idx="494">
                  <c:v>10000</c:v>
                </c:pt>
                <c:pt idx="495">
                  <c:v>10000</c:v>
                </c:pt>
                <c:pt idx="496">
                  <c:v>10000</c:v>
                </c:pt>
                <c:pt idx="497">
                  <c:v>10000</c:v>
                </c:pt>
                <c:pt idx="498">
                  <c:v>10000</c:v>
                </c:pt>
                <c:pt idx="499">
                  <c:v>10000</c:v>
                </c:pt>
                <c:pt idx="500">
                  <c:v>10000</c:v>
                </c:pt>
                <c:pt idx="501">
                  <c:v>10000</c:v>
                </c:pt>
                <c:pt idx="502">
                  <c:v>10000</c:v>
                </c:pt>
                <c:pt idx="503">
                  <c:v>10000</c:v>
                </c:pt>
                <c:pt idx="504">
                  <c:v>10000</c:v>
                </c:pt>
                <c:pt idx="505">
                  <c:v>10000</c:v>
                </c:pt>
                <c:pt idx="506">
                  <c:v>10000</c:v>
                </c:pt>
                <c:pt idx="507">
                  <c:v>10000</c:v>
                </c:pt>
                <c:pt idx="508">
                  <c:v>10000</c:v>
                </c:pt>
                <c:pt idx="509">
                  <c:v>10000</c:v>
                </c:pt>
                <c:pt idx="510">
                  <c:v>10000</c:v>
                </c:pt>
                <c:pt idx="511">
                  <c:v>10000</c:v>
                </c:pt>
                <c:pt idx="512">
                  <c:v>10000</c:v>
                </c:pt>
                <c:pt idx="513">
                  <c:v>10000</c:v>
                </c:pt>
                <c:pt idx="514">
                  <c:v>10000</c:v>
                </c:pt>
                <c:pt idx="515">
                  <c:v>10</c:v>
                </c:pt>
                <c:pt idx="516">
                  <c:v>10</c:v>
                </c:pt>
                <c:pt idx="517">
                  <c:v>10</c:v>
                </c:pt>
                <c:pt idx="518">
                  <c:v>10</c:v>
                </c:pt>
                <c:pt idx="519">
                  <c:v>10</c:v>
                </c:pt>
                <c:pt idx="520">
                  <c:v>10</c:v>
                </c:pt>
                <c:pt idx="521">
                  <c:v>10</c:v>
                </c:pt>
                <c:pt idx="522">
                  <c:v>10</c:v>
                </c:pt>
                <c:pt idx="523">
                  <c:v>10</c:v>
                </c:pt>
                <c:pt idx="524">
                  <c:v>10</c:v>
                </c:pt>
                <c:pt idx="525">
                  <c:v>10</c:v>
                </c:pt>
                <c:pt idx="526">
                  <c:v>10</c:v>
                </c:pt>
                <c:pt idx="527">
                  <c:v>10</c:v>
                </c:pt>
                <c:pt idx="528">
                  <c:v>10</c:v>
                </c:pt>
                <c:pt idx="529">
                  <c:v>10</c:v>
                </c:pt>
                <c:pt idx="530">
                  <c:v>10</c:v>
                </c:pt>
                <c:pt idx="531">
                  <c:v>10</c:v>
                </c:pt>
                <c:pt idx="532">
                  <c:v>10</c:v>
                </c:pt>
                <c:pt idx="533">
                  <c:v>10</c:v>
                </c:pt>
                <c:pt idx="534">
                  <c:v>10</c:v>
                </c:pt>
                <c:pt idx="535">
                  <c:v>10</c:v>
                </c:pt>
                <c:pt idx="536">
                  <c:v>10</c:v>
                </c:pt>
                <c:pt idx="537">
                  <c:v>10</c:v>
                </c:pt>
                <c:pt idx="538">
                  <c:v>10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10</c:v>
                </c:pt>
                <c:pt idx="546">
                  <c:v>10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10</c:v>
                </c:pt>
                <c:pt idx="552">
                  <c:v>10</c:v>
                </c:pt>
                <c:pt idx="553">
                  <c:v>10</c:v>
                </c:pt>
                <c:pt idx="554">
                  <c:v>10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10</c:v>
                </c:pt>
                <c:pt idx="559">
                  <c:v>10</c:v>
                </c:pt>
                <c:pt idx="560">
                  <c:v>10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10</c:v>
                </c:pt>
                <c:pt idx="565">
                  <c:v>10</c:v>
                </c:pt>
                <c:pt idx="566">
                  <c:v>10</c:v>
                </c:pt>
                <c:pt idx="567">
                  <c:v>10</c:v>
                </c:pt>
                <c:pt idx="568">
                  <c:v>10</c:v>
                </c:pt>
                <c:pt idx="569">
                  <c:v>10</c:v>
                </c:pt>
                <c:pt idx="570">
                  <c:v>10</c:v>
                </c:pt>
                <c:pt idx="571">
                  <c:v>10</c:v>
                </c:pt>
                <c:pt idx="572">
                  <c:v>10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10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10</c:v>
                </c:pt>
                <c:pt idx="584">
                  <c:v>10</c:v>
                </c:pt>
                <c:pt idx="585">
                  <c:v>10</c:v>
                </c:pt>
                <c:pt idx="586">
                  <c:v>10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10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10</c:v>
                </c:pt>
                <c:pt idx="617">
                  <c:v>10</c:v>
                </c:pt>
                <c:pt idx="618">
                  <c:v>10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10</c:v>
                </c:pt>
                <c:pt idx="627">
                  <c:v>10</c:v>
                </c:pt>
                <c:pt idx="628">
                  <c:v>10</c:v>
                </c:pt>
                <c:pt idx="629">
                  <c:v>10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10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10</c:v>
                </c:pt>
                <c:pt idx="671">
                  <c:v>10</c:v>
                </c:pt>
                <c:pt idx="672">
                  <c:v>10</c:v>
                </c:pt>
                <c:pt idx="673">
                  <c:v>10</c:v>
                </c:pt>
                <c:pt idx="674">
                  <c:v>10</c:v>
                </c:pt>
                <c:pt idx="675">
                  <c:v>10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10</c:v>
                </c:pt>
                <c:pt idx="692">
                  <c:v>10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  <c:pt idx="700">
                  <c:v>10</c:v>
                </c:pt>
                <c:pt idx="701">
                  <c:v>10</c:v>
                </c:pt>
                <c:pt idx="702">
                  <c:v>10</c:v>
                </c:pt>
                <c:pt idx="703">
                  <c:v>10</c:v>
                </c:pt>
                <c:pt idx="704">
                  <c:v>10</c:v>
                </c:pt>
                <c:pt idx="705">
                  <c:v>10</c:v>
                </c:pt>
                <c:pt idx="706">
                  <c:v>10</c:v>
                </c:pt>
                <c:pt idx="707">
                  <c:v>10</c:v>
                </c:pt>
                <c:pt idx="708">
                  <c:v>10</c:v>
                </c:pt>
                <c:pt idx="709">
                  <c:v>10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BF-4949-B944-9CD9BFBD8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657216"/>
        <c:axId val="680663104"/>
      </c:areaChart>
      <c:scatterChart>
        <c:scatterStyle val="smoothMarker"/>
        <c:varyColors val="0"/>
        <c:ser>
          <c:idx val="0"/>
          <c:order val="0"/>
          <c:tx>
            <c:v>SP500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Sheet1!$C$603:$C$1332</c:f>
              <c:numCache>
                <c:formatCode>m/d/yy</c:formatCode>
                <c:ptCount val="730"/>
                <c:pt idx="0">
                  <c:v>23771</c:v>
                </c:pt>
                <c:pt idx="1">
                  <c:v>23799</c:v>
                </c:pt>
                <c:pt idx="2">
                  <c:v>23832</c:v>
                </c:pt>
                <c:pt idx="3">
                  <c:v>23862</c:v>
                </c:pt>
                <c:pt idx="4">
                  <c:v>23890</c:v>
                </c:pt>
                <c:pt idx="5">
                  <c:v>23923</c:v>
                </c:pt>
                <c:pt idx="6">
                  <c:v>23953</c:v>
                </c:pt>
                <c:pt idx="7">
                  <c:v>23985</c:v>
                </c:pt>
                <c:pt idx="8">
                  <c:v>24015</c:v>
                </c:pt>
                <c:pt idx="9">
                  <c:v>24044</c:v>
                </c:pt>
                <c:pt idx="10">
                  <c:v>24076</c:v>
                </c:pt>
                <c:pt idx="11">
                  <c:v>24107</c:v>
                </c:pt>
                <c:pt idx="12">
                  <c:v>24138</c:v>
                </c:pt>
                <c:pt idx="13">
                  <c:v>24166</c:v>
                </c:pt>
                <c:pt idx="14">
                  <c:v>24197</c:v>
                </c:pt>
                <c:pt idx="15">
                  <c:v>24226</c:v>
                </c:pt>
                <c:pt idx="16">
                  <c:v>24258</c:v>
                </c:pt>
                <c:pt idx="17">
                  <c:v>24288</c:v>
                </c:pt>
                <c:pt idx="18">
                  <c:v>24317</c:v>
                </c:pt>
                <c:pt idx="19">
                  <c:v>24350</c:v>
                </c:pt>
                <c:pt idx="20">
                  <c:v>24380</c:v>
                </c:pt>
                <c:pt idx="21">
                  <c:v>24411</c:v>
                </c:pt>
                <c:pt idx="22">
                  <c:v>24441</c:v>
                </c:pt>
                <c:pt idx="23">
                  <c:v>24471</c:v>
                </c:pt>
                <c:pt idx="24">
                  <c:v>24503</c:v>
                </c:pt>
                <c:pt idx="25">
                  <c:v>24531</c:v>
                </c:pt>
                <c:pt idx="26">
                  <c:v>24562</c:v>
                </c:pt>
                <c:pt idx="27">
                  <c:v>24590</c:v>
                </c:pt>
                <c:pt idx="28">
                  <c:v>24623</c:v>
                </c:pt>
                <c:pt idx="29">
                  <c:v>24653</c:v>
                </c:pt>
                <c:pt idx="30">
                  <c:v>24684</c:v>
                </c:pt>
                <c:pt idx="31">
                  <c:v>24715</c:v>
                </c:pt>
                <c:pt idx="32">
                  <c:v>24744</c:v>
                </c:pt>
                <c:pt idx="33">
                  <c:v>24776</c:v>
                </c:pt>
                <c:pt idx="34">
                  <c:v>24806</c:v>
                </c:pt>
                <c:pt idx="35">
                  <c:v>24835</c:v>
                </c:pt>
                <c:pt idx="36">
                  <c:v>24868</c:v>
                </c:pt>
                <c:pt idx="37">
                  <c:v>24897</c:v>
                </c:pt>
                <c:pt idx="38">
                  <c:v>24926</c:v>
                </c:pt>
                <c:pt idx="39">
                  <c:v>24958</c:v>
                </c:pt>
                <c:pt idx="40">
                  <c:v>24989</c:v>
                </c:pt>
                <c:pt idx="41">
                  <c:v>25017</c:v>
                </c:pt>
                <c:pt idx="42">
                  <c:v>25049</c:v>
                </c:pt>
                <c:pt idx="43">
                  <c:v>25080</c:v>
                </c:pt>
                <c:pt idx="44">
                  <c:v>25111</c:v>
                </c:pt>
                <c:pt idx="45">
                  <c:v>25142</c:v>
                </c:pt>
                <c:pt idx="46">
                  <c:v>25171</c:v>
                </c:pt>
                <c:pt idx="47">
                  <c:v>25203</c:v>
                </c:pt>
                <c:pt idx="48">
                  <c:v>25234</c:v>
                </c:pt>
                <c:pt idx="49">
                  <c:v>25262</c:v>
                </c:pt>
                <c:pt idx="50">
                  <c:v>25290</c:v>
                </c:pt>
                <c:pt idx="51">
                  <c:v>25323</c:v>
                </c:pt>
                <c:pt idx="52">
                  <c:v>25352</c:v>
                </c:pt>
                <c:pt idx="53">
                  <c:v>25384</c:v>
                </c:pt>
                <c:pt idx="54">
                  <c:v>25415</c:v>
                </c:pt>
                <c:pt idx="55">
                  <c:v>25444</c:v>
                </c:pt>
                <c:pt idx="56">
                  <c:v>25476</c:v>
                </c:pt>
                <c:pt idx="57">
                  <c:v>25507</c:v>
                </c:pt>
                <c:pt idx="58">
                  <c:v>25535</c:v>
                </c:pt>
                <c:pt idx="59">
                  <c:v>25568</c:v>
                </c:pt>
                <c:pt idx="60">
                  <c:v>25598</c:v>
                </c:pt>
                <c:pt idx="61">
                  <c:v>25626</c:v>
                </c:pt>
                <c:pt idx="62">
                  <c:v>25658</c:v>
                </c:pt>
                <c:pt idx="63">
                  <c:v>25688</c:v>
                </c:pt>
                <c:pt idx="64">
                  <c:v>25717</c:v>
                </c:pt>
                <c:pt idx="65">
                  <c:v>25749</c:v>
                </c:pt>
                <c:pt idx="66">
                  <c:v>25780</c:v>
                </c:pt>
                <c:pt idx="67">
                  <c:v>25811</c:v>
                </c:pt>
                <c:pt idx="68">
                  <c:v>25841</c:v>
                </c:pt>
                <c:pt idx="69">
                  <c:v>25871</c:v>
                </c:pt>
                <c:pt idx="70">
                  <c:v>25902</c:v>
                </c:pt>
                <c:pt idx="71">
                  <c:v>25933</c:v>
                </c:pt>
                <c:pt idx="72">
                  <c:v>25962</c:v>
                </c:pt>
                <c:pt idx="73">
                  <c:v>25990</c:v>
                </c:pt>
                <c:pt idx="74">
                  <c:v>26023</c:v>
                </c:pt>
                <c:pt idx="75">
                  <c:v>26053</c:v>
                </c:pt>
                <c:pt idx="76">
                  <c:v>26081</c:v>
                </c:pt>
                <c:pt idx="77">
                  <c:v>26114</c:v>
                </c:pt>
                <c:pt idx="78">
                  <c:v>26144</c:v>
                </c:pt>
                <c:pt idx="79">
                  <c:v>26176</c:v>
                </c:pt>
                <c:pt idx="80">
                  <c:v>26206</c:v>
                </c:pt>
                <c:pt idx="81">
                  <c:v>26235</c:v>
                </c:pt>
                <c:pt idx="82">
                  <c:v>26267</c:v>
                </c:pt>
                <c:pt idx="83">
                  <c:v>26298</c:v>
                </c:pt>
                <c:pt idx="84">
                  <c:v>26329</c:v>
                </c:pt>
                <c:pt idx="85">
                  <c:v>26358</c:v>
                </c:pt>
                <c:pt idx="86">
                  <c:v>26388</c:v>
                </c:pt>
                <c:pt idx="87">
                  <c:v>26417</c:v>
                </c:pt>
                <c:pt idx="88">
                  <c:v>26450</c:v>
                </c:pt>
                <c:pt idx="89">
                  <c:v>26480</c:v>
                </c:pt>
                <c:pt idx="90">
                  <c:v>26511</c:v>
                </c:pt>
                <c:pt idx="91">
                  <c:v>26542</c:v>
                </c:pt>
                <c:pt idx="92">
                  <c:v>26571</c:v>
                </c:pt>
                <c:pt idx="93">
                  <c:v>26603</c:v>
                </c:pt>
                <c:pt idx="94">
                  <c:v>26633</c:v>
                </c:pt>
                <c:pt idx="95">
                  <c:v>26662</c:v>
                </c:pt>
                <c:pt idx="96">
                  <c:v>26695</c:v>
                </c:pt>
                <c:pt idx="97">
                  <c:v>26723</c:v>
                </c:pt>
                <c:pt idx="98">
                  <c:v>26753</c:v>
                </c:pt>
                <c:pt idx="99">
                  <c:v>26784</c:v>
                </c:pt>
                <c:pt idx="100">
                  <c:v>26815</c:v>
                </c:pt>
                <c:pt idx="101">
                  <c:v>26844</c:v>
                </c:pt>
                <c:pt idx="102">
                  <c:v>26876</c:v>
                </c:pt>
                <c:pt idx="103">
                  <c:v>26907</c:v>
                </c:pt>
                <c:pt idx="104">
                  <c:v>26935</c:v>
                </c:pt>
                <c:pt idx="105">
                  <c:v>26968</c:v>
                </c:pt>
                <c:pt idx="106">
                  <c:v>26998</c:v>
                </c:pt>
                <c:pt idx="107">
                  <c:v>27029</c:v>
                </c:pt>
                <c:pt idx="108">
                  <c:v>27060</c:v>
                </c:pt>
                <c:pt idx="109">
                  <c:v>27088</c:v>
                </c:pt>
                <c:pt idx="110">
                  <c:v>27117</c:v>
                </c:pt>
                <c:pt idx="111">
                  <c:v>27149</c:v>
                </c:pt>
                <c:pt idx="112">
                  <c:v>27180</c:v>
                </c:pt>
                <c:pt idx="113">
                  <c:v>27208</c:v>
                </c:pt>
                <c:pt idx="114">
                  <c:v>27241</c:v>
                </c:pt>
                <c:pt idx="115">
                  <c:v>27271</c:v>
                </c:pt>
                <c:pt idx="116">
                  <c:v>27302</c:v>
                </c:pt>
                <c:pt idx="117">
                  <c:v>27333</c:v>
                </c:pt>
                <c:pt idx="118">
                  <c:v>27362</c:v>
                </c:pt>
                <c:pt idx="119">
                  <c:v>27394</c:v>
                </c:pt>
                <c:pt idx="120">
                  <c:v>27425</c:v>
                </c:pt>
                <c:pt idx="121">
                  <c:v>27453</c:v>
                </c:pt>
                <c:pt idx="122">
                  <c:v>27484</c:v>
                </c:pt>
                <c:pt idx="123">
                  <c:v>27514</c:v>
                </c:pt>
                <c:pt idx="124">
                  <c:v>27544</c:v>
                </c:pt>
                <c:pt idx="125">
                  <c:v>27575</c:v>
                </c:pt>
                <c:pt idx="126">
                  <c:v>27606</c:v>
                </c:pt>
                <c:pt idx="127">
                  <c:v>27635</c:v>
                </c:pt>
                <c:pt idx="128">
                  <c:v>27667</c:v>
                </c:pt>
                <c:pt idx="129">
                  <c:v>27698</c:v>
                </c:pt>
                <c:pt idx="130">
                  <c:v>27726</c:v>
                </c:pt>
                <c:pt idx="131">
                  <c:v>27759</c:v>
                </c:pt>
                <c:pt idx="132">
                  <c:v>27789</c:v>
                </c:pt>
                <c:pt idx="133">
                  <c:v>27817</c:v>
                </c:pt>
                <c:pt idx="134">
                  <c:v>27850</c:v>
                </c:pt>
                <c:pt idx="135">
                  <c:v>27880</c:v>
                </c:pt>
                <c:pt idx="136">
                  <c:v>27908</c:v>
                </c:pt>
                <c:pt idx="137">
                  <c:v>27941</c:v>
                </c:pt>
                <c:pt idx="138">
                  <c:v>27971</c:v>
                </c:pt>
                <c:pt idx="139">
                  <c:v>28003</c:v>
                </c:pt>
                <c:pt idx="140">
                  <c:v>28033</c:v>
                </c:pt>
                <c:pt idx="141">
                  <c:v>28062</c:v>
                </c:pt>
                <c:pt idx="142">
                  <c:v>28094</c:v>
                </c:pt>
                <c:pt idx="143">
                  <c:v>28125</c:v>
                </c:pt>
                <c:pt idx="144">
                  <c:v>28156</c:v>
                </c:pt>
                <c:pt idx="145">
                  <c:v>28184</c:v>
                </c:pt>
                <c:pt idx="146">
                  <c:v>28215</c:v>
                </c:pt>
                <c:pt idx="147">
                  <c:v>28244</c:v>
                </c:pt>
                <c:pt idx="148">
                  <c:v>28276</c:v>
                </c:pt>
                <c:pt idx="149">
                  <c:v>28306</c:v>
                </c:pt>
                <c:pt idx="150">
                  <c:v>28335</c:v>
                </c:pt>
                <c:pt idx="151">
                  <c:v>28368</c:v>
                </c:pt>
                <c:pt idx="152">
                  <c:v>28398</c:v>
                </c:pt>
                <c:pt idx="153">
                  <c:v>28429</c:v>
                </c:pt>
                <c:pt idx="154">
                  <c:v>28459</c:v>
                </c:pt>
                <c:pt idx="155">
                  <c:v>28489</c:v>
                </c:pt>
                <c:pt idx="156">
                  <c:v>28521</c:v>
                </c:pt>
                <c:pt idx="157">
                  <c:v>28549</c:v>
                </c:pt>
                <c:pt idx="158">
                  <c:v>28580</c:v>
                </c:pt>
                <c:pt idx="159">
                  <c:v>28608</c:v>
                </c:pt>
                <c:pt idx="160">
                  <c:v>28641</c:v>
                </c:pt>
                <c:pt idx="161">
                  <c:v>28671</c:v>
                </c:pt>
                <c:pt idx="162">
                  <c:v>28702</c:v>
                </c:pt>
                <c:pt idx="163">
                  <c:v>28733</c:v>
                </c:pt>
                <c:pt idx="164">
                  <c:v>28762</c:v>
                </c:pt>
                <c:pt idx="165">
                  <c:v>28794</c:v>
                </c:pt>
                <c:pt idx="166">
                  <c:v>28824</c:v>
                </c:pt>
                <c:pt idx="167">
                  <c:v>28853</c:v>
                </c:pt>
                <c:pt idx="168">
                  <c:v>28886</c:v>
                </c:pt>
                <c:pt idx="169">
                  <c:v>28914</c:v>
                </c:pt>
                <c:pt idx="170">
                  <c:v>28944</c:v>
                </c:pt>
                <c:pt idx="171">
                  <c:v>28975</c:v>
                </c:pt>
                <c:pt idx="172">
                  <c:v>29006</c:v>
                </c:pt>
                <c:pt idx="173">
                  <c:v>29035</c:v>
                </c:pt>
                <c:pt idx="174">
                  <c:v>29067</c:v>
                </c:pt>
                <c:pt idx="175">
                  <c:v>29098</c:v>
                </c:pt>
                <c:pt idx="176">
                  <c:v>29126</c:v>
                </c:pt>
                <c:pt idx="177">
                  <c:v>29159</c:v>
                </c:pt>
                <c:pt idx="178">
                  <c:v>29189</c:v>
                </c:pt>
                <c:pt idx="179">
                  <c:v>29220</c:v>
                </c:pt>
                <c:pt idx="180">
                  <c:v>29251</c:v>
                </c:pt>
                <c:pt idx="181">
                  <c:v>29280</c:v>
                </c:pt>
                <c:pt idx="182">
                  <c:v>29311</c:v>
                </c:pt>
                <c:pt idx="183">
                  <c:v>29341</c:v>
                </c:pt>
                <c:pt idx="184">
                  <c:v>29371</c:v>
                </c:pt>
                <c:pt idx="185">
                  <c:v>29402</c:v>
                </c:pt>
                <c:pt idx="186">
                  <c:v>29433</c:v>
                </c:pt>
                <c:pt idx="187">
                  <c:v>29462</c:v>
                </c:pt>
                <c:pt idx="188">
                  <c:v>29494</c:v>
                </c:pt>
                <c:pt idx="189">
                  <c:v>29525</c:v>
                </c:pt>
                <c:pt idx="190">
                  <c:v>29553</c:v>
                </c:pt>
                <c:pt idx="191">
                  <c:v>29586</c:v>
                </c:pt>
                <c:pt idx="192">
                  <c:v>29616</c:v>
                </c:pt>
                <c:pt idx="193">
                  <c:v>29644</c:v>
                </c:pt>
                <c:pt idx="194">
                  <c:v>29676</c:v>
                </c:pt>
                <c:pt idx="195">
                  <c:v>29706</c:v>
                </c:pt>
                <c:pt idx="196">
                  <c:v>29735</c:v>
                </c:pt>
                <c:pt idx="197">
                  <c:v>29767</c:v>
                </c:pt>
                <c:pt idx="198">
                  <c:v>29798</c:v>
                </c:pt>
                <c:pt idx="199">
                  <c:v>29829</c:v>
                </c:pt>
                <c:pt idx="200">
                  <c:v>29859</c:v>
                </c:pt>
                <c:pt idx="201">
                  <c:v>29889</c:v>
                </c:pt>
                <c:pt idx="202">
                  <c:v>29920</c:v>
                </c:pt>
                <c:pt idx="203">
                  <c:v>29951</c:v>
                </c:pt>
                <c:pt idx="204">
                  <c:v>29980</c:v>
                </c:pt>
                <c:pt idx="205">
                  <c:v>30008</c:v>
                </c:pt>
                <c:pt idx="206">
                  <c:v>30041</c:v>
                </c:pt>
                <c:pt idx="207">
                  <c:v>30071</c:v>
                </c:pt>
                <c:pt idx="208">
                  <c:v>30099</c:v>
                </c:pt>
                <c:pt idx="209">
                  <c:v>30132</c:v>
                </c:pt>
                <c:pt idx="210">
                  <c:v>30162</c:v>
                </c:pt>
                <c:pt idx="211">
                  <c:v>30194</c:v>
                </c:pt>
                <c:pt idx="212">
                  <c:v>30224</c:v>
                </c:pt>
                <c:pt idx="213">
                  <c:v>30253</c:v>
                </c:pt>
                <c:pt idx="214">
                  <c:v>30285</c:v>
                </c:pt>
                <c:pt idx="215">
                  <c:v>30316</c:v>
                </c:pt>
                <c:pt idx="216">
                  <c:v>30347</c:v>
                </c:pt>
                <c:pt idx="217">
                  <c:v>30375</c:v>
                </c:pt>
                <c:pt idx="218">
                  <c:v>30406</c:v>
                </c:pt>
                <c:pt idx="219">
                  <c:v>30435</c:v>
                </c:pt>
                <c:pt idx="220">
                  <c:v>30467</c:v>
                </c:pt>
                <c:pt idx="221">
                  <c:v>30497</c:v>
                </c:pt>
                <c:pt idx="222">
                  <c:v>30526</c:v>
                </c:pt>
                <c:pt idx="223">
                  <c:v>30559</c:v>
                </c:pt>
                <c:pt idx="224">
                  <c:v>30589</c:v>
                </c:pt>
                <c:pt idx="225">
                  <c:v>30620</c:v>
                </c:pt>
                <c:pt idx="226">
                  <c:v>30650</c:v>
                </c:pt>
                <c:pt idx="227">
                  <c:v>30680</c:v>
                </c:pt>
                <c:pt idx="228">
                  <c:v>30712</c:v>
                </c:pt>
                <c:pt idx="229">
                  <c:v>30741</c:v>
                </c:pt>
                <c:pt idx="230">
                  <c:v>30771</c:v>
                </c:pt>
                <c:pt idx="231">
                  <c:v>30802</c:v>
                </c:pt>
                <c:pt idx="232">
                  <c:v>30833</c:v>
                </c:pt>
                <c:pt idx="233">
                  <c:v>30862</c:v>
                </c:pt>
                <c:pt idx="234">
                  <c:v>30894</c:v>
                </c:pt>
                <c:pt idx="235">
                  <c:v>30925</c:v>
                </c:pt>
                <c:pt idx="236">
                  <c:v>30953</c:v>
                </c:pt>
                <c:pt idx="237">
                  <c:v>30986</c:v>
                </c:pt>
                <c:pt idx="238">
                  <c:v>31016</c:v>
                </c:pt>
                <c:pt idx="239">
                  <c:v>31047</c:v>
                </c:pt>
                <c:pt idx="240">
                  <c:v>31078</c:v>
                </c:pt>
                <c:pt idx="241">
                  <c:v>31106</c:v>
                </c:pt>
                <c:pt idx="242">
                  <c:v>31135</c:v>
                </c:pt>
                <c:pt idx="243">
                  <c:v>31167</c:v>
                </c:pt>
                <c:pt idx="244">
                  <c:v>31198</c:v>
                </c:pt>
                <c:pt idx="245">
                  <c:v>31226</c:v>
                </c:pt>
                <c:pt idx="246">
                  <c:v>31259</c:v>
                </c:pt>
                <c:pt idx="247">
                  <c:v>31289</c:v>
                </c:pt>
                <c:pt idx="248">
                  <c:v>31320</c:v>
                </c:pt>
                <c:pt idx="249">
                  <c:v>31351</c:v>
                </c:pt>
                <c:pt idx="250">
                  <c:v>31380</c:v>
                </c:pt>
                <c:pt idx="251">
                  <c:v>31412</c:v>
                </c:pt>
                <c:pt idx="252">
                  <c:v>31443</c:v>
                </c:pt>
                <c:pt idx="253">
                  <c:v>31471</c:v>
                </c:pt>
                <c:pt idx="254">
                  <c:v>31502</c:v>
                </c:pt>
                <c:pt idx="255">
                  <c:v>31532</c:v>
                </c:pt>
                <c:pt idx="256">
                  <c:v>31562</c:v>
                </c:pt>
                <c:pt idx="257">
                  <c:v>31593</c:v>
                </c:pt>
                <c:pt idx="258">
                  <c:v>31624</c:v>
                </c:pt>
                <c:pt idx="259">
                  <c:v>31653</c:v>
                </c:pt>
                <c:pt idx="260">
                  <c:v>31685</c:v>
                </c:pt>
                <c:pt idx="261">
                  <c:v>31716</c:v>
                </c:pt>
                <c:pt idx="262">
                  <c:v>31744</c:v>
                </c:pt>
                <c:pt idx="263">
                  <c:v>31777</c:v>
                </c:pt>
                <c:pt idx="264">
                  <c:v>31807</c:v>
                </c:pt>
                <c:pt idx="265">
                  <c:v>31835</c:v>
                </c:pt>
                <c:pt idx="266">
                  <c:v>31867</c:v>
                </c:pt>
                <c:pt idx="267">
                  <c:v>31897</c:v>
                </c:pt>
                <c:pt idx="268">
                  <c:v>31926</c:v>
                </c:pt>
                <c:pt idx="269">
                  <c:v>31958</c:v>
                </c:pt>
                <c:pt idx="270">
                  <c:v>31989</c:v>
                </c:pt>
                <c:pt idx="271">
                  <c:v>32020</c:v>
                </c:pt>
                <c:pt idx="272">
                  <c:v>32050</c:v>
                </c:pt>
                <c:pt idx="273">
                  <c:v>32080</c:v>
                </c:pt>
                <c:pt idx="274">
                  <c:v>32111</c:v>
                </c:pt>
                <c:pt idx="275">
                  <c:v>32142</c:v>
                </c:pt>
                <c:pt idx="276">
                  <c:v>32171</c:v>
                </c:pt>
                <c:pt idx="277">
                  <c:v>32202</c:v>
                </c:pt>
                <c:pt idx="278">
                  <c:v>32233</c:v>
                </c:pt>
                <c:pt idx="279">
                  <c:v>32262</c:v>
                </c:pt>
                <c:pt idx="280">
                  <c:v>32294</c:v>
                </c:pt>
                <c:pt idx="281">
                  <c:v>32324</c:v>
                </c:pt>
                <c:pt idx="282">
                  <c:v>32353</c:v>
                </c:pt>
                <c:pt idx="283">
                  <c:v>32386</c:v>
                </c:pt>
                <c:pt idx="284">
                  <c:v>32416</c:v>
                </c:pt>
                <c:pt idx="285">
                  <c:v>32447</c:v>
                </c:pt>
                <c:pt idx="286">
                  <c:v>32477</c:v>
                </c:pt>
                <c:pt idx="287">
                  <c:v>32507</c:v>
                </c:pt>
                <c:pt idx="288">
                  <c:v>32539</c:v>
                </c:pt>
                <c:pt idx="289">
                  <c:v>32567</c:v>
                </c:pt>
                <c:pt idx="290">
                  <c:v>32598</c:v>
                </c:pt>
                <c:pt idx="291">
                  <c:v>32626</c:v>
                </c:pt>
                <c:pt idx="292">
                  <c:v>32659</c:v>
                </c:pt>
                <c:pt idx="293">
                  <c:v>32689</c:v>
                </c:pt>
                <c:pt idx="294">
                  <c:v>32720</c:v>
                </c:pt>
                <c:pt idx="295">
                  <c:v>32751</c:v>
                </c:pt>
                <c:pt idx="296">
                  <c:v>32780</c:v>
                </c:pt>
                <c:pt idx="297">
                  <c:v>32812</c:v>
                </c:pt>
                <c:pt idx="298">
                  <c:v>32842</c:v>
                </c:pt>
                <c:pt idx="299">
                  <c:v>32871</c:v>
                </c:pt>
                <c:pt idx="300">
                  <c:v>32904</c:v>
                </c:pt>
                <c:pt idx="301">
                  <c:v>32932</c:v>
                </c:pt>
                <c:pt idx="302">
                  <c:v>32962</c:v>
                </c:pt>
                <c:pt idx="303">
                  <c:v>32993</c:v>
                </c:pt>
                <c:pt idx="304">
                  <c:v>33024</c:v>
                </c:pt>
                <c:pt idx="305">
                  <c:v>33053</c:v>
                </c:pt>
                <c:pt idx="306">
                  <c:v>33085</c:v>
                </c:pt>
                <c:pt idx="307">
                  <c:v>33116</c:v>
                </c:pt>
                <c:pt idx="308">
                  <c:v>33144</c:v>
                </c:pt>
                <c:pt idx="309">
                  <c:v>33177</c:v>
                </c:pt>
                <c:pt idx="310">
                  <c:v>33207</c:v>
                </c:pt>
                <c:pt idx="311">
                  <c:v>33238</c:v>
                </c:pt>
                <c:pt idx="312">
                  <c:v>33269</c:v>
                </c:pt>
                <c:pt idx="313">
                  <c:v>33297</c:v>
                </c:pt>
                <c:pt idx="314">
                  <c:v>33325</c:v>
                </c:pt>
                <c:pt idx="315">
                  <c:v>33358</c:v>
                </c:pt>
                <c:pt idx="316">
                  <c:v>33389</c:v>
                </c:pt>
                <c:pt idx="317">
                  <c:v>33417</c:v>
                </c:pt>
                <c:pt idx="318">
                  <c:v>33450</c:v>
                </c:pt>
                <c:pt idx="319">
                  <c:v>33480</c:v>
                </c:pt>
                <c:pt idx="320">
                  <c:v>33511</c:v>
                </c:pt>
                <c:pt idx="321">
                  <c:v>33542</c:v>
                </c:pt>
                <c:pt idx="322">
                  <c:v>33571</c:v>
                </c:pt>
                <c:pt idx="323">
                  <c:v>33603</c:v>
                </c:pt>
                <c:pt idx="324">
                  <c:v>33634</c:v>
                </c:pt>
                <c:pt idx="325">
                  <c:v>33662</c:v>
                </c:pt>
                <c:pt idx="326">
                  <c:v>33694</c:v>
                </c:pt>
                <c:pt idx="327">
                  <c:v>33724</c:v>
                </c:pt>
                <c:pt idx="328">
                  <c:v>33753</c:v>
                </c:pt>
                <c:pt idx="329">
                  <c:v>33785</c:v>
                </c:pt>
                <c:pt idx="330">
                  <c:v>33816</c:v>
                </c:pt>
                <c:pt idx="331">
                  <c:v>33847</c:v>
                </c:pt>
                <c:pt idx="332">
                  <c:v>33877</c:v>
                </c:pt>
                <c:pt idx="333">
                  <c:v>33907</c:v>
                </c:pt>
                <c:pt idx="334">
                  <c:v>33938</c:v>
                </c:pt>
                <c:pt idx="335">
                  <c:v>33969</c:v>
                </c:pt>
                <c:pt idx="336">
                  <c:v>33998</c:v>
                </c:pt>
                <c:pt idx="337">
                  <c:v>34026</c:v>
                </c:pt>
                <c:pt idx="338">
                  <c:v>34059</c:v>
                </c:pt>
                <c:pt idx="339">
                  <c:v>34089</c:v>
                </c:pt>
                <c:pt idx="340">
                  <c:v>34117</c:v>
                </c:pt>
                <c:pt idx="341">
                  <c:v>34150</c:v>
                </c:pt>
                <c:pt idx="342">
                  <c:v>34180</c:v>
                </c:pt>
                <c:pt idx="343">
                  <c:v>34212</c:v>
                </c:pt>
                <c:pt idx="344">
                  <c:v>34242</c:v>
                </c:pt>
                <c:pt idx="345">
                  <c:v>34271</c:v>
                </c:pt>
                <c:pt idx="346">
                  <c:v>34303</c:v>
                </c:pt>
                <c:pt idx="347">
                  <c:v>34334</c:v>
                </c:pt>
                <c:pt idx="348">
                  <c:v>34365</c:v>
                </c:pt>
                <c:pt idx="349">
                  <c:v>34393</c:v>
                </c:pt>
                <c:pt idx="350">
                  <c:v>34424</c:v>
                </c:pt>
                <c:pt idx="351">
                  <c:v>34453</c:v>
                </c:pt>
                <c:pt idx="352">
                  <c:v>34485</c:v>
                </c:pt>
                <c:pt idx="353">
                  <c:v>34515</c:v>
                </c:pt>
                <c:pt idx="354">
                  <c:v>34544</c:v>
                </c:pt>
                <c:pt idx="355">
                  <c:v>34577</c:v>
                </c:pt>
                <c:pt idx="356">
                  <c:v>34607</c:v>
                </c:pt>
                <c:pt idx="357">
                  <c:v>34638</c:v>
                </c:pt>
                <c:pt idx="358">
                  <c:v>34668</c:v>
                </c:pt>
                <c:pt idx="359">
                  <c:v>34698</c:v>
                </c:pt>
                <c:pt idx="360">
                  <c:v>34730</c:v>
                </c:pt>
                <c:pt idx="361">
                  <c:v>34758</c:v>
                </c:pt>
                <c:pt idx="362">
                  <c:v>34789</c:v>
                </c:pt>
                <c:pt idx="363">
                  <c:v>34817</c:v>
                </c:pt>
                <c:pt idx="364">
                  <c:v>34850</c:v>
                </c:pt>
                <c:pt idx="365">
                  <c:v>34880</c:v>
                </c:pt>
                <c:pt idx="366">
                  <c:v>34911</c:v>
                </c:pt>
                <c:pt idx="367">
                  <c:v>34942</c:v>
                </c:pt>
                <c:pt idx="368">
                  <c:v>34971</c:v>
                </c:pt>
                <c:pt idx="369">
                  <c:v>35003</c:v>
                </c:pt>
                <c:pt idx="370">
                  <c:v>35033</c:v>
                </c:pt>
                <c:pt idx="371">
                  <c:v>35062</c:v>
                </c:pt>
                <c:pt idx="372">
                  <c:v>35095</c:v>
                </c:pt>
                <c:pt idx="373">
                  <c:v>35124</c:v>
                </c:pt>
                <c:pt idx="374">
                  <c:v>35153</c:v>
                </c:pt>
                <c:pt idx="375">
                  <c:v>35185</c:v>
                </c:pt>
                <c:pt idx="376">
                  <c:v>35216</c:v>
                </c:pt>
                <c:pt idx="377">
                  <c:v>35244</c:v>
                </c:pt>
                <c:pt idx="378">
                  <c:v>35277</c:v>
                </c:pt>
                <c:pt idx="379">
                  <c:v>35307</c:v>
                </c:pt>
                <c:pt idx="380">
                  <c:v>35338</c:v>
                </c:pt>
                <c:pt idx="381">
                  <c:v>35369</c:v>
                </c:pt>
                <c:pt idx="382">
                  <c:v>35398</c:v>
                </c:pt>
                <c:pt idx="383">
                  <c:v>35430</c:v>
                </c:pt>
                <c:pt idx="384">
                  <c:v>35461</c:v>
                </c:pt>
                <c:pt idx="385">
                  <c:v>35489</c:v>
                </c:pt>
                <c:pt idx="386">
                  <c:v>35520</c:v>
                </c:pt>
                <c:pt idx="387">
                  <c:v>35550</c:v>
                </c:pt>
                <c:pt idx="388">
                  <c:v>35580</c:v>
                </c:pt>
                <c:pt idx="389">
                  <c:v>35611</c:v>
                </c:pt>
                <c:pt idx="390">
                  <c:v>35642</c:v>
                </c:pt>
                <c:pt idx="391">
                  <c:v>35671</c:v>
                </c:pt>
                <c:pt idx="392">
                  <c:v>35703</c:v>
                </c:pt>
                <c:pt idx="393">
                  <c:v>35734</c:v>
                </c:pt>
                <c:pt idx="394">
                  <c:v>35762</c:v>
                </c:pt>
                <c:pt idx="395">
                  <c:v>35795</c:v>
                </c:pt>
                <c:pt idx="396">
                  <c:v>35825</c:v>
                </c:pt>
                <c:pt idx="397">
                  <c:v>35853</c:v>
                </c:pt>
                <c:pt idx="398">
                  <c:v>35885</c:v>
                </c:pt>
                <c:pt idx="399">
                  <c:v>35915</c:v>
                </c:pt>
                <c:pt idx="400">
                  <c:v>35944</c:v>
                </c:pt>
                <c:pt idx="401">
                  <c:v>35976</c:v>
                </c:pt>
                <c:pt idx="402">
                  <c:v>36007</c:v>
                </c:pt>
                <c:pt idx="403">
                  <c:v>36038</c:v>
                </c:pt>
                <c:pt idx="404">
                  <c:v>36068</c:v>
                </c:pt>
                <c:pt idx="405">
                  <c:v>36098</c:v>
                </c:pt>
                <c:pt idx="406">
                  <c:v>36129</c:v>
                </c:pt>
                <c:pt idx="407">
                  <c:v>36160</c:v>
                </c:pt>
                <c:pt idx="408">
                  <c:v>36189</c:v>
                </c:pt>
                <c:pt idx="409">
                  <c:v>36217</c:v>
                </c:pt>
                <c:pt idx="410">
                  <c:v>36250</c:v>
                </c:pt>
                <c:pt idx="411">
                  <c:v>36280</c:v>
                </c:pt>
                <c:pt idx="412">
                  <c:v>36308</c:v>
                </c:pt>
                <c:pt idx="413">
                  <c:v>36341</c:v>
                </c:pt>
                <c:pt idx="414">
                  <c:v>36371</c:v>
                </c:pt>
                <c:pt idx="415">
                  <c:v>36403</c:v>
                </c:pt>
                <c:pt idx="416">
                  <c:v>36433</c:v>
                </c:pt>
                <c:pt idx="417">
                  <c:v>36462</c:v>
                </c:pt>
                <c:pt idx="418">
                  <c:v>36494</c:v>
                </c:pt>
                <c:pt idx="419">
                  <c:v>36525</c:v>
                </c:pt>
                <c:pt idx="420">
                  <c:v>36556</c:v>
                </c:pt>
                <c:pt idx="421">
                  <c:v>36585</c:v>
                </c:pt>
                <c:pt idx="422">
                  <c:v>36616</c:v>
                </c:pt>
                <c:pt idx="423">
                  <c:v>36644</c:v>
                </c:pt>
                <c:pt idx="424">
                  <c:v>36677</c:v>
                </c:pt>
                <c:pt idx="425">
                  <c:v>36707</c:v>
                </c:pt>
                <c:pt idx="426">
                  <c:v>36738</c:v>
                </c:pt>
                <c:pt idx="427">
                  <c:v>36769</c:v>
                </c:pt>
                <c:pt idx="428">
                  <c:v>36798</c:v>
                </c:pt>
                <c:pt idx="429">
                  <c:v>36830</c:v>
                </c:pt>
                <c:pt idx="430">
                  <c:v>36860</c:v>
                </c:pt>
                <c:pt idx="431">
                  <c:v>36889</c:v>
                </c:pt>
                <c:pt idx="432">
                  <c:v>36922</c:v>
                </c:pt>
                <c:pt idx="433">
                  <c:v>36950</c:v>
                </c:pt>
                <c:pt idx="434">
                  <c:v>36980</c:v>
                </c:pt>
                <c:pt idx="435">
                  <c:v>37011</c:v>
                </c:pt>
                <c:pt idx="436">
                  <c:v>37042</c:v>
                </c:pt>
                <c:pt idx="437">
                  <c:v>37071</c:v>
                </c:pt>
                <c:pt idx="438">
                  <c:v>37103</c:v>
                </c:pt>
                <c:pt idx="439">
                  <c:v>37134</c:v>
                </c:pt>
                <c:pt idx="440">
                  <c:v>37162</c:v>
                </c:pt>
                <c:pt idx="441">
                  <c:v>37195</c:v>
                </c:pt>
                <c:pt idx="442">
                  <c:v>37225</c:v>
                </c:pt>
                <c:pt idx="443">
                  <c:v>37256</c:v>
                </c:pt>
                <c:pt idx="444">
                  <c:v>37287</c:v>
                </c:pt>
                <c:pt idx="445">
                  <c:v>37315</c:v>
                </c:pt>
                <c:pt idx="446">
                  <c:v>37343</c:v>
                </c:pt>
                <c:pt idx="447">
                  <c:v>37376</c:v>
                </c:pt>
                <c:pt idx="448">
                  <c:v>37407</c:v>
                </c:pt>
                <c:pt idx="449">
                  <c:v>37435</c:v>
                </c:pt>
                <c:pt idx="450">
                  <c:v>37468</c:v>
                </c:pt>
                <c:pt idx="451">
                  <c:v>37498</c:v>
                </c:pt>
                <c:pt idx="452">
                  <c:v>37529</c:v>
                </c:pt>
                <c:pt idx="453">
                  <c:v>37560</c:v>
                </c:pt>
                <c:pt idx="454">
                  <c:v>37589</c:v>
                </c:pt>
                <c:pt idx="455">
                  <c:v>37621</c:v>
                </c:pt>
                <c:pt idx="456">
                  <c:v>37652</c:v>
                </c:pt>
                <c:pt idx="457">
                  <c:v>37680</c:v>
                </c:pt>
                <c:pt idx="458">
                  <c:v>37711</c:v>
                </c:pt>
                <c:pt idx="459">
                  <c:v>37741</c:v>
                </c:pt>
                <c:pt idx="460">
                  <c:v>37771</c:v>
                </c:pt>
                <c:pt idx="461">
                  <c:v>37802</c:v>
                </c:pt>
                <c:pt idx="462">
                  <c:v>37833</c:v>
                </c:pt>
                <c:pt idx="463">
                  <c:v>37862</c:v>
                </c:pt>
                <c:pt idx="464">
                  <c:v>37894</c:v>
                </c:pt>
                <c:pt idx="465">
                  <c:v>37925</c:v>
                </c:pt>
                <c:pt idx="466">
                  <c:v>37953</c:v>
                </c:pt>
                <c:pt idx="467">
                  <c:v>37986</c:v>
                </c:pt>
                <c:pt idx="468">
                  <c:v>38016</c:v>
                </c:pt>
                <c:pt idx="469">
                  <c:v>38044</c:v>
                </c:pt>
                <c:pt idx="470">
                  <c:v>38077</c:v>
                </c:pt>
                <c:pt idx="471">
                  <c:v>38107</c:v>
                </c:pt>
                <c:pt idx="472">
                  <c:v>38135</c:v>
                </c:pt>
                <c:pt idx="473">
                  <c:v>38168</c:v>
                </c:pt>
                <c:pt idx="474">
                  <c:v>38198</c:v>
                </c:pt>
                <c:pt idx="475">
                  <c:v>38230</c:v>
                </c:pt>
                <c:pt idx="476">
                  <c:v>38260</c:v>
                </c:pt>
                <c:pt idx="477">
                  <c:v>38289</c:v>
                </c:pt>
                <c:pt idx="478">
                  <c:v>38321</c:v>
                </c:pt>
                <c:pt idx="479">
                  <c:v>38352</c:v>
                </c:pt>
                <c:pt idx="480">
                  <c:v>38383</c:v>
                </c:pt>
                <c:pt idx="481">
                  <c:v>38411</c:v>
                </c:pt>
                <c:pt idx="482">
                  <c:v>38442</c:v>
                </c:pt>
                <c:pt idx="483">
                  <c:v>38471</c:v>
                </c:pt>
                <c:pt idx="484">
                  <c:v>38503</c:v>
                </c:pt>
                <c:pt idx="485">
                  <c:v>38533</c:v>
                </c:pt>
                <c:pt idx="486">
                  <c:v>38562</c:v>
                </c:pt>
                <c:pt idx="487">
                  <c:v>38595</c:v>
                </c:pt>
                <c:pt idx="488">
                  <c:v>38625</c:v>
                </c:pt>
                <c:pt idx="489">
                  <c:v>38656</c:v>
                </c:pt>
                <c:pt idx="490">
                  <c:v>38686</c:v>
                </c:pt>
                <c:pt idx="491">
                  <c:v>38716</c:v>
                </c:pt>
                <c:pt idx="492">
                  <c:v>38748</c:v>
                </c:pt>
                <c:pt idx="493">
                  <c:v>38776</c:v>
                </c:pt>
                <c:pt idx="494">
                  <c:v>38807</c:v>
                </c:pt>
                <c:pt idx="495">
                  <c:v>38835</c:v>
                </c:pt>
                <c:pt idx="496">
                  <c:v>38868</c:v>
                </c:pt>
                <c:pt idx="497">
                  <c:v>38898</c:v>
                </c:pt>
                <c:pt idx="498">
                  <c:v>38929</c:v>
                </c:pt>
                <c:pt idx="499">
                  <c:v>38960</c:v>
                </c:pt>
                <c:pt idx="500">
                  <c:v>38989</c:v>
                </c:pt>
                <c:pt idx="501">
                  <c:v>39021</c:v>
                </c:pt>
                <c:pt idx="502">
                  <c:v>39051</c:v>
                </c:pt>
                <c:pt idx="503">
                  <c:v>39080</c:v>
                </c:pt>
                <c:pt idx="504">
                  <c:v>39113</c:v>
                </c:pt>
                <c:pt idx="505">
                  <c:v>39141</c:v>
                </c:pt>
                <c:pt idx="506">
                  <c:v>39171</c:v>
                </c:pt>
                <c:pt idx="507">
                  <c:v>39202</c:v>
                </c:pt>
                <c:pt idx="508">
                  <c:v>39233</c:v>
                </c:pt>
                <c:pt idx="509">
                  <c:v>39262</c:v>
                </c:pt>
                <c:pt idx="510">
                  <c:v>39294</c:v>
                </c:pt>
                <c:pt idx="511">
                  <c:v>39325</c:v>
                </c:pt>
                <c:pt idx="512">
                  <c:v>39353</c:v>
                </c:pt>
                <c:pt idx="513">
                  <c:v>39386</c:v>
                </c:pt>
                <c:pt idx="514">
                  <c:v>39416</c:v>
                </c:pt>
                <c:pt idx="515">
                  <c:v>39447</c:v>
                </c:pt>
                <c:pt idx="516">
                  <c:v>39478</c:v>
                </c:pt>
                <c:pt idx="517">
                  <c:v>39507</c:v>
                </c:pt>
                <c:pt idx="518">
                  <c:v>39538</c:v>
                </c:pt>
                <c:pt idx="519">
                  <c:v>39568</c:v>
                </c:pt>
                <c:pt idx="520">
                  <c:v>39598</c:v>
                </c:pt>
                <c:pt idx="521">
                  <c:v>39629</c:v>
                </c:pt>
                <c:pt idx="522">
                  <c:v>39660</c:v>
                </c:pt>
                <c:pt idx="523">
                  <c:v>39689</c:v>
                </c:pt>
                <c:pt idx="524">
                  <c:v>39721</c:v>
                </c:pt>
                <c:pt idx="525">
                  <c:v>39752</c:v>
                </c:pt>
                <c:pt idx="526">
                  <c:v>39780</c:v>
                </c:pt>
                <c:pt idx="527">
                  <c:v>39813</c:v>
                </c:pt>
                <c:pt idx="528">
                  <c:v>39843</c:v>
                </c:pt>
                <c:pt idx="529">
                  <c:v>39871</c:v>
                </c:pt>
                <c:pt idx="530">
                  <c:v>39903</c:v>
                </c:pt>
                <c:pt idx="531">
                  <c:v>39933</c:v>
                </c:pt>
                <c:pt idx="532">
                  <c:v>39962</c:v>
                </c:pt>
                <c:pt idx="533">
                  <c:v>39994</c:v>
                </c:pt>
                <c:pt idx="534">
                  <c:v>40025</c:v>
                </c:pt>
                <c:pt idx="535">
                  <c:v>40056</c:v>
                </c:pt>
                <c:pt idx="536">
                  <c:v>40086</c:v>
                </c:pt>
                <c:pt idx="537">
                  <c:v>40116</c:v>
                </c:pt>
                <c:pt idx="538">
                  <c:v>40147</c:v>
                </c:pt>
                <c:pt idx="539">
                  <c:v>40178</c:v>
                </c:pt>
                <c:pt idx="540">
                  <c:v>40207</c:v>
                </c:pt>
                <c:pt idx="541">
                  <c:v>40235</c:v>
                </c:pt>
                <c:pt idx="542">
                  <c:v>40268</c:v>
                </c:pt>
                <c:pt idx="543">
                  <c:v>40298</c:v>
                </c:pt>
                <c:pt idx="544">
                  <c:v>40326</c:v>
                </c:pt>
                <c:pt idx="545">
                  <c:v>40359</c:v>
                </c:pt>
                <c:pt idx="546">
                  <c:v>40389</c:v>
                </c:pt>
                <c:pt idx="547">
                  <c:v>40421</c:v>
                </c:pt>
                <c:pt idx="548">
                  <c:v>40451</c:v>
                </c:pt>
                <c:pt idx="549">
                  <c:v>40480</c:v>
                </c:pt>
                <c:pt idx="550">
                  <c:v>40512</c:v>
                </c:pt>
                <c:pt idx="551">
                  <c:v>40543</c:v>
                </c:pt>
                <c:pt idx="552">
                  <c:v>40574</c:v>
                </c:pt>
                <c:pt idx="553">
                  <c:v>40602</c:v>
                </c:pt>
                <c:pt idx="554">
                  <c:v>40633</c:v>
                </c:pt>
                <c:pt idx="555">
                  <c:v>40662</c:v>
                </c:pt>
                <c:pt idx="556">
                  <c:v>40694</c:v>
                </c:pt>
                <c:pt idx="557">
                  <c:v>40724</c:v>
                </c:pt>
                <c:pt idx="558">
                  <c:v>40753</c:v>
                </c:pt>
                <c:pt idx="559">
                  <c:v>40786</c:v>
                </c:pt>
                <c:pt idx="560">
                  <c:v>40816</c:v>
                </c:pt>
                <c:pt idx="561">
                  <c:v>40847</c:v>
                </c:pt>
                <c:pt idx="562">
                  <c:v>40877</c:v>
                </c:pt>
                <c:pt idx="563">
                  <c:v>40907</c:v>
                </c:pt>
                <c:pt idx="564">
                  <c:v>40939</c:v>
                </c:pt>
                <c:pt idx="565">
                  <c:v>40968</c:v>
                </c:pt>
                <c:pt idx="566">
                  <c:v>40998</c:v>
                </c:pt>
                <c:pt idx="567">
                  <c:v>41029</c:v>
                </c:pt>
                <c:pt idx="568">
                  <c:v>41060</c:v>
                </c:pt>
                <c:pt idx="569">
                  <c:v>41089</c:v>
                </c:pt>
                <c:pt idx="570">
                  <c:v>41121</c:v>
                </c:pt>
                <c:pt idx="571">
                  <c:v>41152</c:v>
                </c:pt>
                <c:pt idx="572">
                  <c:v>41180</c:v>
                </c:pt>
                <c:pt idx="573">
                  <c:v>41213</c:v>
                </c:pt>
                <c:pt idx="574">
                  <c:v>41243</c:v>
                </c:pt>
                <c:pt idx="575">
                  <c:v>41274</c:v>
                </c:pt>
                <c:pt idx="576">
                  <c:v>41305</c:v>
                </c:pt>
                <c:pt idx="577">
                  <c:v>41333</c:v>
                </c:pt>
                <c:pt idx="578">
                  <c:v>41361</c:v>
                </c:pt>
                <c:pt idx="579">
                  <c:v>41394</c:v>
                </c:pt>
                <c:pt idx="580">
                  <c:v>41425</c:v>
                </c:pt>
                <c:pt idx="581">
                  <c:v>41453</c:v>
                </c:pt>
                <c:pt idx="582">
                  <c:v>41486</c:v>
                </c:pt>
                <c:pt idx="583">
                  <c:v>41516</c:v>
                </c:pt>
                <c:pt idx="584">
                  <c:v>41547</c:v>
                </c:pt>
                <c:pt idx="585">
                  <c:v>41578</c:v>
                </c:pt>
                <c:pt idx="586">
                  <c:v>41607</c:v>
                </c:pt>
                <c:pt idx="587">
                  <c:v>41639</c:v>
                </c:pt>
                <c:pt idx="588">
                  <c:v>41670</c:v>
                </c:pt>
                <c:pt idx="589">
                  <c:v>41698</c:v>
                </c:pt>
                <c:pt idx="590">
                  <c:v>41729</c:v>
                </c:pt>
                <c:pt idx="591">
                  <c:v>41759</c:v>
                </c:pt>
                <c:pt idx="592">
                  <c:v>41789</c:v>
                </c:pt>
                <c:pt idx="593">
                  <c:v>41820</c:v>
                </c:pt>
                <c:pt idx="594">
                  <c:v>41851</c:v>
                </c:pt>
                <c:pt idx="595">
                  <c:v>41880</c:v>
                </c:pt>
                <c:pt idx="596">
                  <c:v>41912</c:v>
                </c:pt>
                <c:pt idx="597">
                  <c:v>41943</c:v>
                </c:pt>
                <c:pt idx="598">
                  <c:v>41971</c:v>
                </c:pt>
                <c:pt idx="599">
                  <c:v>42004</c:v>
                </c:pt>
                <c:pt idx="600">
                  <c:v>42034</c:v>
                </c:pt>
                <c:pt idx="601">
                  <c:v>42062</c:v>
                </c:pt>
                <c:pt idx="602">
                  <c:v>42094</c:v>
                </c:pt>
                <c:pt idx="603">
                  <c:v>42124</c:v>
                </c:pt>
                <c:pt idx="604">
                  <c:v>42153</c:v>
                </c:pt>
                <c:pt idx="605">
                  <c:v>42185</c:v>
                </c:pt>
                <c:pt idx="606">
                  <c:v>42216</c:v>
                </c:pt>
                <c:pt idx="607">
                  <c:v>42247</c:v>
                </c:pt>
                <c:pt idx="608">
                  <c:v>42277</c:v>
                </c:pt>
                <c:pt idx="609">
                  <c:v>42307</c:v>
                </c:pt>
                <c:pt idx="610">
                  <c:v>42338</c:v>
                </c:pt>
                <c:pt idx="611">
                  <c:v>42369</c:v>
                </c:pt>
                <c:pt idx="612">
                  <c:v>42398</c:v>
                </c:pt>
                <c:pt idx="613">
                  <c:v>42429</c:v>
                </c:pt>
                <c:pt idx="614">
                  <c:v>42460</c:v>
                </c:pt>
                <c:pt idx="615">
                  <c:v>42489</c:v>
                </c:pt>
                <c:pt idx="616">
                  <c:v>42521</c:v>
                </c:pt>
                <c:pt idx="617">
                  <c:v>42551</c:v>
                </c:pt>
                <c:pt idx="618">
                  <c:v>42580</c:v>
                </c:pt>
                <c:pt idx="619">
                  <c:v>42613</c:v>
                </c:pt>
                <c:pt idx="620">
                  <c:v>42643</c:v>
                </c:pt>
                <c:pt idx="621">
                  <c:v>42674</c:v>
                </c:pt>
                <c:pt idx="622">
                  <c:v>42704</c:v>
                </c:pt>
                <c:pt idx="623">
                  <c:v>42734</c:v>
                </c:pt>
                <c:pt idx="624">
                  <c:v>42766</c:v>
                </c:pt>
                <c:pt idx="625">
                  <c:v>42794</c:v>
                </c:pt>
                <c:pt idx="626">
                  <c:v>42825</c:v>
                </c:pt>
                <c:pt idx="627">
                  <c:v>42853</c:v>
                </c:pt>
                <c:pt idx="628">
                  <c:v>42886</c:v>
                </c:pt>
                <c:pt idx="629">
                  <c:v>42916</c:v>
                </c:pt>
                <c:pt idx="630">
                  <c:v>42947</c:v>
                </c:pt>
                <c:pt idx="631">
                  <c:v>42978</c:v>
                </c:pt>
                <c:pt idx="632">
                  <c:v>43007</c:v>
                </c:pt>
                <c:pt idx="633">
                  <c:v>43039</c:v>
                </c:pt>
                <c:pt idx="634">
                  <c:v>43069</c:v>
                </c:pt>
                <c:pt idx="635">
                  <c:v>43098</c:v>
                </c:pt>
                <c:pt idx="636">
                  <c:v>43131</c:v>
                </c:pt>
                <c:pt idx="637">
                  <c:v>43159</c:v>
                </c:pt>
                <c:pt idx="638">
                  <c:v>43188</c:v>
                </c:pt>
                <c:pt idx="639">
                  <c:v>43220</c:v>
                </c:pt>
                <c:pt idx="640">
                  <c:v>43251</c:v>
                </c:pt>
                <c:pt idx="641">
                  <c:v>43280</c:v>
                </c:pt>
                <c:pt idx="642">
                  <c:v>43312</c:v>
                </c:pt>
                <c:pt idx="643">
                  <c:v>43343</c:v>
                </c:pt>
                <c:pt idx="644">
                  <c:v>43371</c:v>
                </c:pt>
                <c:pt idx="645">
                  <c:v>43404</c:v>
                </c:pt>
                <c:pt idx="646">
                  <c:v>43434</c:v>
                </c:pt>
                <c:pt idx="647">
                  <c:v>43465</c:v>
                </c:pt>
                <c:pt idx="648">
                  <c:v>43496</c:v>
                </c:pt>
                <c:pt idx="649">
                  <c:v>43524</c:v>
                </c:pt>
                <c:pt idx="650">
                  <c:v>43553</c:v>
                </c:pt>
                <c:pt idx="651">
                  <c:v>43585</c:v>
                </c:pt>
                <c:pt idx="652">
                  <c:v>43616</c:v>
                </c:pt>
                <c:pt idx="653">
                  <c:v>43644</c:v>
                </c:pt>
                <c:pt idx="654">
                  <c:v>43677</c:v>
                </c:pt>
                <c:pt idx="655">
                  <c:v>43707</c:v>
                </c:pt>
                <c:pt idx="656">
                  <c:v>43738</c:v>
                </c:pt>
                <c:pt idx="657">
                  <c:v>43769</c:v>
                </c:pt>
                <c:pt idx="658">
                  <c:v>43798</c:v>
                </c:pt>
                <c:pt idx="659">
                  <c:v>43830</c:v>
                </c:pt>
                <c:pt idx="660">
                  <c:v>43861</c:v>
                </c:pt>
                <c:pt idx="661">
                  <c:v>43889</c:v>
                </c:pt>
                <c:pt idx="662">
                  <c:v>43921</c:v>
                </c:pt>
                <c:pt idx="663">
                  <c:v>43951</c:v>
                </c:pt>
                <c:pt idx="664">
                  <c:v>43980</c:v>
                </c:pt>
                <c:pt idx="665">
                  <c:v>44012</c:v>
                </c:pt>
                <c:pt idx="666">
                  <c:v>44043</c:v>
                </c:pt>
                <c:pt idx="667">
                  <c:v>44074</c:v>
                </c:pt>
                <c:pt idx="668">
                  <c:v>44104</c:v>
                </c:pt>
                <c:pt idx="669">
                  <c:v>44134</c:v>
                </c:pt>
                <c:pt idx="670">
                  <c:v>44165</c:v>
                </c:pt>
                <c:pt idx="671">
                  <c:v>44196</c:v>
                </c:pt>
                <c:pt idx="672">
                  <c:v>44225</c:v>
                </c:pt>
                <c:pt idx="673">
                  <c:v>44253</c:v>
                </c:pt>
                <c:pt idx="674">
                  <c:v>44286</c:v>
                </c:pt>
                <c:pt idx="675">
                  <c:v>44316</c:v>
                </c:pt>
                <c:pt idx="676">
                  <c:v>44344</c:v>
                </c:pt>
                <c:pt idx="677">
                  <c:v>44377</c:v>
                </c:pt>
                <c:pt idx="678">
                  <c:v>44407</c:v>
                </c:pt>
                <c:pt idx="679">
                  <c:v>44439</c:v>
                </c:pt>
                <c:pt idx="680">
                  <c:v>44469</c:v>
                </c:pt>
                <c:pt idx="681">
                  <c:v>44498</c:v>
                </c:pt>
                <c:pt idx="682">
                  <c:v>44530</c:v>
                </c:pt>
                <c:pt idx="683">
                  <c:v>44561</c:v>
                </c:pt>
                <c:pt idx="684">
                  <c:v>44592</c:v>
                </c:pt>
                <c:pt idx="685">
                  <c:v>44620</c:v>
                </c:pt>
                <c:pt idx="686">
                  <c:v>44651</c:v>
                </c:pt>
                <c:pt idx="687">
                  <c:v>44680</c:v>
                </c:pt>
                <c:pt idx="688">
                  <c:v>44712</c:v>
                </c:pt>
                <c:pt idx="689">
                  <c:v>44742</c:v>
                </c:pt>
                <c:pt idx="690">
                  <c:v>44771</c:v>
                </c:pt>
                <c:pt idx="691">
                  <c:v>44804</c:v>
                </c:pt>
                <c:pt idx="692">
                  <c:v>44834</c:v>
                </c:pt>
                <c:pt idx="693">
                  <c:v>44865</c:v>
                </c:pt>
                <c:pt idx="694">
                  <c:v>44895</c:v>
                </c:pt>
                <c:pt idx="695">
                  <c:v>44926</c:v>
                </c:pt>
                <c:pt idx="696">
                  <c:v>44957</c:v>
                </c:pt>
                <c:pt idx="697">
                  <c:v>44985</c:v>
                </c:pt>
                <c:pt idx="698">
                  <c:v>45016</c:v>
                </c:pt>
                <c:pt idx="699">
                  <c:v>45044</c:v>
                </c:pt>
                <c:pt idx="700">
                  <c:v>45077</c:v>
                </c:pt>
                <c:pt idx="701">
                  <c:v>45107</c:v>
                </c:pt>
                <c:pt idx="702">
                  <c:v>45138</c:v>
                </c:pt>
                <c:pt idx="703">
                  <c:v>45169</c:v>
                </c:pt>
                <c:pt idx="704">
                  <c:v>45198</c:v>
                </c:pt>
                <c:pt idx="705">
                  <c:v>45230</c:v>
                </c:pt>
                <c:pt idx="706">
                  <c:v>45260</c:v>
                </c:pt>
                <c:pt idx="707">
                  <c:v>45289</c:v>
                </c:pt>
                <c:pt idx="708">
                  <c:v>45322</c:v>
                </c:pt>
                <c:pt idx="709">
                  <c:v>45351</c:v>
                </c:pt>
                <c:pt idx="710">
                  <c:v>45379</c:v>
                </c:pt>
                <c:pt idx="711">
                  <c:v>45412</c:v>
                </c:pt>
                <c:pt idx="712">
                  <c:v>45443</c:v>
                </c:pt>
                <c:pt idx="713">
                  <c:v>45471</c:v>
                </c:pt>
                <c:pt idx="714">
                  <c:v>45504</c:v>
                </c:pt>
                <c:pt idx="715">
                  <c:v>45534</c:v>
                </c:pt>
                <c:pt idx="716">
                  <c:v>45565</c:v>
                </c:pt>
                <c:pt idx="717">
                  <c:v>45596</c:v>
                </c:pt>
                <c:pt idx="718">
                  <c:v>45625</c:v>
                </c:pt>
                <c:pt idx="719">
                  <c:v>45657</c:v>
                </c:pt>
                <c:pt idx="720">
                  <c:v>45688</c:v>
                </c:pt>
                <c:pt idx="721">
                  <c:v>45716</c:v>
                </c:pt>
                <c:pt idx="722">
                  <c:v>45747</c:v>
                </c:pt>
                <c:pt idx="723">
                  <c:v>45777</c:v>
                </c:pt>
                <c:pt idx="724">
                  <c:v>45807</c:v>
                </c:pt>
                <c:pt idx="725">
                  <c:v>45838</c:v>
                </c:pt>
                <c:pt idx="726">
                  <c:v>45869</c:v>
                </c:pt>
                <c:pt idx="727">
                  <c:v>45898</c:v>
                </c:pt>
                <c:pt idx="728">
                  <c:v>45930</c:v>
                </c:pt>
                <c:pt idx="729">
                  <c:v>45961</c:v>
                </c:pt>
              </c:numCache>
            </c:numRef>
          </c:xVal>
          <c:yVal>
            <c:numRef>
              <c:f>Sheet1!$D$603:$D$1332</c:f>
              <c:numCache>
                <c:formatCode>General</c:formatCode>
                <c:ptCount val="730"/>
                <c:pt idx="0">
                  <c:v>87.56</c:v>
                </c:pt>
                <c:pt idx="1">
                  <c:v>87.43</c:v>
                </c:pt>
                <c:pt idx="2">
                  <c:v>86.16</c:v>
                </c:pt>
                <c:pt idx="3">
                  <c:v>89.11</c:v>
                </c:pt>
                <c:pt idx="4">
                  <c:v>88.42</c:v>
                </c:pt>
                <c:pt idx="5">
                  <c:v>84.12</c:v>
                </c:pt>
                <c:pt idx="6">
                  <c:v>85.25</c:v>
                </c:pt>
                <c:pt idx="7">
                  <c:v>87.17</c:v>
                </c:pt>
                <c:pt idx="8">
                  <c:v>89.96</c:v>
                </c:pt>
                <c:pt idx="9">
                  <c:v>92.42</c:v>
                </c:pt>
                <c:pt idx="10">
                  <c:v>91.61</c:v>
                </c:pt>
                <c:pt idx="11">
                  <c:v>92.43</c:v>
                </c:pt>
                <c:pt idx="12">
                  <c:v>92.88</c:v>
                </c:pt>
                <c:pt idx="13">
                  <c:v>91.22</c:v>
                </c:pt>
                <c:pt idx="14">
                  <c:v>89.23</c:v>
                </c:pt>
                <c:pt idx="15">
                  <c:v>91.06</c:v>
                </c:pt>
                <c:pt idx="16">
                  <c:v>86.13</c:v>
                </c:pt>
                <c:pt idx="17">
                  <c:v>84.74</c:v>
                </c:pt>
                <c:pt idx="18">
                  <c:v>83.6</c:v>
                </c:pt>
                <c:pt idx="19">
                  <c:v>77.099999999999994</c:v>
                </c:pt>
                <c:pt idx="20">
                  <c:v>76.56</c:v>
                </c:pt>
                <c:pt idx="21">
                  <c:v>80.2</c:v>
                </c:pt>
                <c:pt idx="22">
                  <c:v>80.45</c:v>
                </c:pt>
                <c:pt idx="23">
                  <c:v>80.33</c:v>
                </c:pt>
                <c:pt idx="24">
                  <c:v>86.61</c:v>
                </c:pt>
                <c:pt idx="25">
                  <c:v>86.78</c:v>
                </c:pt>
                <c:pt idx="26">
                  <c:v>90.2</c:v>
                </c:pt>
                <c:pt idx="27">
                  <c:v>94.01</c:v>
                </c:pt>
                <c:pt idx="28">
                  <c:v>89.08</c:v>
                </c:pt>
                <c:pt idx="29">
                  <c:v>90.64</c:v>
                </c:pt>
                <c:pt idx="30">
                  <c:v>94.75</c:v>
                </c:pt>
                <c:pt idx="31">
                  <c:v>93.64</c:v>
                </c:pt>
                <c:pt idx="32">
                  <c:v>96.71</c:v>
                </c:pt>
                <c:pt idx="33">
                  <c:v>93.3</c:v>
                </c:pt>
                <c:pt idx="34">
                  <c:v>94</c:v>
                </c:pt>
                <c:pt idx="35">
                  <c:v>96.47</c:v>
                </c:pt>
                <c:pt idx="36">
                  <c:v>92.24</c:v>
                </c:pt>
                <c:pt idx="37">
                  <c:v>89.36</c:v>
                </c:pt>
                <c:pt idx="38">
                  <c:v>90.2</c:v>
                </c:pt>
                <c:pt idx="39">
                  <c:v>97.46</c:v>
                </c:pt>
                <c:pt idx="40">
                  <c:v>98.68</c:v>
                </c:pt>
                <c:pt idx="41">
                  <c:v>99.58</c:v>
                </c:pt>
                <c:pt idx="42">
                  <c:v>97.74</c:v>
                </c:pt>
                <c:pt idx="43">
                  <c:v>98.86</c:v>
                </c:pt>
                <c:pt idx="44">
                  <c:v>102.67</c:v>
                </c:pt>
                <c:pt idx="45">
                  <c:v>103.41</c:v>
                </c:pt>
                <c:pt idx="46">
                  <c:v>108.37</c:v>
                </c:pt>
                <c:pt idx="47">
                  <c:v>103.86</c:v>
                </c:pt>
                <c:pt idx="48">
                  <c:v>103.01</c:v>
                </c:pt>
                <c:pt idx="49">
                  <c:v>98.13</c:v>
                </c:pt>
                <c:pt idx="50">
                  <c:v>101.51</c:v>
                </c:pt>
                <c:pt idx="51">
                  <c:v>103.69</c:v>
                </c:pt>
                <c:pt idx="52">
                  <c:v>103.46</c:v>
                </c:pt>
                <c:pt idx="53">
                  <c:v>97.71</c:v>
                </c:pt>
                <c:pt idx="54">
                  <c:v>91.83</c:v>
                </c:pt>
                <c:pt idx="55">
                  <c:v>95.51</c:v>
                </c:pt>
                <c:pt idx="56">
                  <c:v>93.12</c:v>
                </c:pt>
                <c:pt idx="57">
                  <c:v>97.12</c:v>
                </c:pt>
                <c:pt idx="58">
                  <c:v>93.81</c:v>
                </c:pt>
                <c:pt idx="59">
                  <c:v>92.06</c:v>
                </c:pt>
                <c:pt idx="60">
                  <c:v>85.02</c:v>
                </c:pt>
                <c:pt idx="61">
                  <c:v>89.5</c:v>
                </c:pt>
                <c:pt idx="62">
                  <c:v>89.63</c:v>
                </c:pt>
                <c:pt idx="63">
                  <c:v>81.52</c:v>
                </c:pt>
                <c:pt idx="64">
                  <c:v>76.55</c:v>
                </c:pt>
                <c:pt idx="65">
                  <c:v>72.72</c:v>
                </c:pt>
                <c:pt idx="66">
                  <c:v>78.05</c:v>
                </c:pt>
                <c:pt idx="67">
                  <c:v>81.52</c:v>
                </c:pt>
                <c:pt idx="68">
                  <c:v>84.3</c:v>
                </c:pt>
                <c:pt idx="69">
                  <c:v>83.25</c:v>
                </c:pt>
                <c:pt idx="70">
                  <c:v>87.2</c:v>
                </c:pt>
                <c:pt idx="71">
                  <c:v>92.15</c:v>
                </c:pt>
                <c:pt idx="72">
                  <c:v>95.88</c:v>
                </c:pt>
                <c:pt idx="73">
                  <c:v>96.75</c:v>
                </c:pt>
                <c:pt idx="74">
                  <c:v>100.31</c:v>
                </c:pt>
                <c:pt idx="75">
                  <c:v>103.95</c:v>
                </c:pt>
                <c:pt idx="76">
                  <c:v>99.63</c:v>
                </c:pt>
                <c:pt idx="77">
                  <c:v>98.7</c:v>
                </c:pt>
                <c:pt idx="78">
                  <c:v>95.58</c:v>
                </c:pt>
                <c:pt idx="79">
                  <c:v>99.03</c:v>
                </c:pt>
                <c:pt idx="80">
                  <c:v>98.34</c:v>
                </c:pt>
                <c:pt idx="81">
                  <c:v>94.23</c:v>
                </c:pt>
                <c:pt idx="82">
                  <c:v>93.99</c:v>
                </c:pt>
                <c:pt idx="83">
                  <c:v>102.09</c:v>
                </c:pt>
                <c:pt idx="84">
                  <c:v>103.94</c:v>
                </c:pt>
                <c:pt idx="85">
                  <c:v>106.57</c:v>
                </c:pt>
                <c:pt idx="86">
                  <c:v>107.2</c:v>
                </c:pt>
                <c:pt idx="87">
                  <c:v>107.67</c:v>
                </c:pt>
                <c:pt idx="88">
                  <c:v>109.53</c:v>
                </c:pt>
                <c:pt idx="89">
                  <c:v>107.14</c:v>
                </c:pt>
                <c:pt idx="90">
                  <c:v>107.39</c:v>
                </c:pt>
                <c:pt idx="91">
                  <c:v>111.09</c:v>
                </c:pt>
                <c:pt idx="92">
                  <c:v>110.55</c:v>
                </c:pt>
                <c:pt idx="93">
                  <c:v>111.58</c:v>
                </c:pt>
                <c:pt idx="94">
                  <c:v>116.67</c:v>
                </c:pt>
                <c:pt idx="95">
                  <c:v>118.05</c:v>
                </c:pt>
                <c:pt idx="96">
                  <c:v>116.03</c:v>
                </c:pt>
                <c:pt idx="97">
                  <c:v>111.68</c:v>
                </c:pt>
                <c:pt idx="98">
                  <c:v>111.52</c:v>
                </c:pt>
                <c:pt idx="99">
                  <c:v>106.97</c:v>
                </c:pt>
                <c:pt idx="100">
                  <c:v>104.95</c:v>
                </c:pt>
                <c:pt idx="101">
                  <c:v>104.26</c:v>
                </c:pt>
                <c:pt idx="102">
                  <c:v>108.22</c:v>
                </c:pt>
                <c:pt idx="103">
                  <c:v>104.25</c:v>
                </c:pt>
                <c:pt idx="104">
                  <c:v>108.43</c:v>
                </c:pt>
                <c:pt idx="105">
                  <c:v>108.29</c:v>
                </c:pt>
                <c:pt idx="106">
                  <c:v>95.96</c:v>
                </c:pt>
                <c:pt idx="107">
                  <c:v>97.55</c:v>
                </c:pt>
                <c:pt idx="108">
                  <c:v>96.57</c:v>
                </c:pt>
                <c:pt idx="109">
                  <c:v>96.22</c:v>
                </c:pt>
                <c:pt idx="110">
                  <c:v>93.98</c:v>
                </c:pt>
                <c:pt idx="111">
                  <c:v>90.31</c:v>
                </c:pt>
                <c:pt idx="112">
                  <c:v>87.28</c:v>
                </c:pt>
                <c:pt idx="113">
                  <c:v>86</c:v>
                </c:pt>
                <c:pt idx="114">
                  <c:v>79.31</c:v>
                </c:pt>
                <c:pt idx="115">
                  <c:v>72.150000000000006</c:v>
                </c:pt>
                <c:pt idx="116">
                  <c:v>63.54</c:v>
                </c:pt>
                <c:pt idx="117">
                  <c:v>73.900000000000006</c:v>
                </c:pt>
                <c:pt idx="118">
                  <c:v>69.97</c:v>
                </c:pt>
                <c:pt idx="119">
                  <c:v>68.56</c:v>
                </c:pt>
                <c:pt idx="120">
                  <c:v>76.98</c:v>
                </c:pt>
                <c:pt idx="121">
                  <c:v>81.59</c:v>
                </c:pt>
                <c:pt idx="122">
                  <c:v>83.36</c:v>
                </c:pt>
                <c:pt idx="123">
                  <c:v>87.3</c:v>
                </c:pt>
                <c:pt idx="124">
                  <c:v>91.15</c:v>
                </c:pt>
                <c:pt idx="125">
                  <c:v>95.19</c:v>
                </c:pt>
                <c:pt idx="126">
                  <c:v>88.75</c:v>
                </c:pt>
                <c:pt idx="127">
                  <c:v>86.88</c:v>
                </c:pt>
                <c:pt idx="128">
                  <c:v>83.87</c:v>
                </c:pt>
                <c:pt idx="129">
                  <c:v>89.04</c:v>
                </c:pt>
                <c:pt idx="130">
                  <c:v>91.24</c:v>
                </c:pt>
                <c:pt idx="131">
                  <c:v>90.19</c:v>
                </c:pt>
                <c:pt idx="132">
                  <c:v>100.86</c:v>
                </c:pt>
                <c:pt idx="133">
                  <c:v>99.71</c:v>
                </c:pt>
                <c:pt idx="134">
                  <c:v>102.77</c:v>
                </c:pt>
                <c:pt idx="135">
                  <c:v>101.64</c:v>
                </c:pt>
                <c:pt idx="136">
                  <c:v>100.18</c:v>
                </c:pt>
                <c:pt idx="137">
                  <c:v>104.28</c:v>
                </c:pt>
                <c:pt idx="138">
                  <c:v>103.44</c:v>
                </c:pt>
                <c:pt idx="139">
                  <c:v>102.91</c:v>
                </c:pt>
                <c:pt idx="140">
                  <c:v>105.24</c:v>
                </c:pt>
                <c:pt idx="141">
                  <c:v>102.9</c:v>
                </c:pt>
                <c:pt idx="142">
                  <c:v>102.1</c:v>
                </c:pt>
                <c:pt idx="143">
                  <c:v>107.46</c:v>
                </c:pt>
                <c:pt idx="144">
                  <c:v>102.03</c:v>
                </c:pt>
                <c:pt idx="145">
                  <c:v>99.82</c:v>
                </c:pt>
                <c:pt idx="146">
                  <c:v>98.42</c:v>
                </c:pt>
                <c:pt idx="147">
                  <c:v>98.44</c:v>
                </c:pt>
                <c:pt idx="148">
                  <c:v>96.12</c:v>
                </c:pt>
                <c:pt idx="149">
                  <c:v>100.48</c:v>
                </c:pt>
                <c:pt idx="150">
                  <c:v>98.85</c:v>
                </c:pt>
                <c:pt idx="151">
                  <c:v>96.77</c:v>
                </c:pt>
                <c:pt idx="152">
                  <c:v>96.53</c:v>
                </c:pt>
                <c:pt idx="153">
                  <c:v>92.34</c:v>
                </c:pt>
                <c:pt idx="154">
                  <c:v>94.83</c:v>
                </c:pt>
                <c:pt idx="155">
                  <c:v>95.1</c:v>
                </c:pt>
                <c:pt idx="156">
                  <c:v>89.25</c:v>
                </c:pt>
                <c:pt idx="157">
                  <c:v>87.04</c:v>
                </c:pt>
                <c:pt idx="158">
                  <c:v>89.21</c:v>
                </c:pt>
                <c:pt idx="159">
                  <c:v>96.83</c:v>
                </c:pt>
                <c:pt idx="160">
                  <c:v>97.24</c:v>
                </c:pt>
                <c:pt idx="161">
                  <c:v>95.53</c:v>
                </c:pt>
                <c:pt idx="162">
                  <c:v>100.68</c:v>
                </c:pt>
                <c:pt idx="163">
                  <c:v>103.29</c:v>
                </c:pt>
                <c:pt idx="164">
                  <c:v>102.54</c:v>
                </c:pt>
                <c:pt idx="165">
                  <c:v>93.15</c:v>
                </c:pt>
                <c:pt idx="166">
                  <c:v>94.7</c:v>
                </c:pt>
                <c:pt idx="167">
                  <c:v>96.11</c:v>
                </c:pt>
                <c:pt idx="168">
                  <c:v>99.93</c:v>
                </c:pt>
                <c:pt idx="169">
                  <c:v>96.28</c:v>
                </c:pt>
                <c:pt idx="170">
                  <c:v>101.59</c:v>
                </c:pt>
                <c:pt idx="171">
                  <c:v>101.76</c:v>
                </c:pt>
                <c:pt idx="172">
                  <c:v>99.08</c:v>
                </c:pt>
                <c:pt idx="173">
                  <c:v>102.91</c:v>
                </c:pt>
                <c:pt idx="174">
                  <c:v>103.81</c:v>
                </c:pt>
                <c:pt idx="175">
                  <c:v>109.32</c:v>
                </c:pt>
                <c:pt idx="176">
                  <c:v>109.32</c:v>
                </c:pt>
                <c:pt idx="177">
                  <c:v>101.82</c:v>
                </c:pt>
                <c:pt idx="178">
                  <c:v>106.16</c:v>
                </c:pt>
                <c:pt idx="179">
                  <c:v>107.94</c:v>
                </c:pt>
                <c:pt idx="180">
                  <c:v>114.16</c:v>
                </c:pt>
                <c:pt idx="181">
                  <c:v>113.66</c:v>
                </c:pt>
                <c:pt idx="182">
                  <c:v>102.09</c:v>
                </c:pt>
                <c:pt idx="183">
                  <c:v>106.29</c:v>
                </c:pt>
                <c:pt idx="184">
                  <c:v>111.24</c:v>
                </c:pt>
                <c:pt idx="185">
                  <c:v>114.24</c:v>
                </c:pt>
                <c:pt idx="186">
                  <c:v>121.67</c:v>
                </c:pt>
                <c:pt idx="187">
                  <c:v>122.38</c:v>
                </c:pt>
                <c:pt idx="188">
                  <c:v>125.46</c:v>
                </c:pt>
                <c:pt idx="189">
                  <c:v>127.47</c:v>
                </c:pt>
                <c:pt idx="190">
                  <c:v>140.52000000000001</c:v>
                </c:pt>
                <c:pt idx="191">
                  <c:v>135.76</c:v>
                </c:pt>
                <c:pt idx="192">
                  <c:v>129.55000000000001</c:v>
                </c:pt>
                <c:pt idx="193">
                  <c:v>131.27000000000001</c:v>
                </c:pt>
                <c:pt idx="194">
                  <c:v>136</c:v>
                </c:pt>
                <c:pt idx="195">
                  <c:v>132.81</c:v>
                </c:pt>
                <c:pt idx="196">
                  <c:v>132.59</c:v>
                </c:pt>
                <c:pt idx="197">
                  <c:v>131.21</c:v>
                </c:pt>
                <c:pt idx="198">
                  <c:v>130.91999999999999</c:v>
                </c:pt>
                <c:pt idx="199">
                  <c:v>122.79</c:v>
                </c:pt>
                <c:pt idx="200">
                  <c:v>116.18</c:v>
                </c:pt>
                <c:pt idx="201">
                  <c:v>121.89</c:v>
                </c:pt>
                <c:pt idx="202">
                  <c:v>126.35</c:v>
                </c:pt>
                <c:pt idx="203">
                  <c:v>122.55</c:v>
                </c:pt>
                <c:pt idx="204">
                  <c:v>120.4</c:v>
                </c:pt>
                <c:pt idx="205">
                  <c:v>113.11</c:v>
                </c:pt>
                <c:pt idx="206">
                  <c:v>111.96</c:v>
                </c:pt>
                <c:pt idx="207">
                  <c:v>116.44</c:v>
                </c:pt>
                <c:pt idx="208">
                  <c:v>111.88</c:v>
                </c:pt>
                <c:pt idx="209">
                  <c:v>109.61</c:v>
                </c:pt>
                <c:pt idx="210">
                  <c:v>107.09</c:v>
                </c:pt>
                <c:pt idx="211">
                  <c:v>119.51</c:v>
                </c:pt>
                <c:pt idx="212">
                  <c:v>120.42</c:v>
                </c:pt>
                <c:pt idx="213">
                  <c:v>133.72</c:v>
                </c:pt>
                <c:pt idx="214">
                  <c:v>138.53</c:v>
                </c:pt>
                <c:pt idx="215">
                  <c:v>140.63999999999999</c:v>
                </c:pt>
                <c:pt idx="216">
                  <c:v>145.30000000000001</c:v>
                </c:pt>
                <c:pt idx="217">
                  <c:v>148.06</c:v>
                </c:pt>
                <c:pt idx="218">
                  <c:v>152.96</c:v>
                </c:pt>
                <c:pt idx="219">
                  <c:v>164.43</c:v>
                </c:pt>
                <c:pt idx="220">
                  <c:v>162.38999999999999</c:v>
                </c:pt>
                <c:pt idx="221">
                  <c:v>167.64</c:v>
                </c:pt>
                <c:pt idx="222">
                  <c:v>162.56</c:v>
                </c:pt>
                <c:pt idx="223">
                  <c:v>164.4</c:v>
                </c:pt>
                <c:pt idx="224">
                  <c:v>166.07</c:v>
                </c:pt>
                <c:pt idx="225">
                  <c:v>163.55000000000001</c:v>
                </c:pt>
                <c:pt idx="226">
                  <c:v>166.4</c:v>
                </c:pt>
                <c:pt idx="227">
                  <c:v>164.93</c:v>
                </c:pt>
                <c:pt idx="228">
                  <c:v>163.41</c:v>
                </c:pt>
                <c:pt idx="229">
                  <c:v>157.06</c:v>
                </c:pt>
                <c:pt idx="230">
                  <c:v>159.18</c:v>
                </c:pt>
                <c:pt idx="231">
                  <c:v>160.05000000000001</c:v>
                </c:pt>
                <c:pt idx="232">
                  <c:v>150.55000000000001</c:v>
                </c:pt>
                <c:pt idx="233">
                  <c:v>153.18</c:v>
                </c:pt>
                <c:pt idx="234">
                  <c:v>150.66</c:v>
                </c:pt>
                <c:pt idx="235">
                  <c:v>166.68</c:v>
                </c:pt>
                <c:pt idx="236">
                  <c:v>166.1</c:v>
                </c:pt>
                <c:pt idx="237">
                  <c:v>166.09</c:v>
                </c:pt>
                <c:pt idx="238">
                  <c:v>163.58000000000001</c:v>
                </c:pt>
                <c:pt idx="239">
                  <c:v>167.24</c:v>
                </c:pt>
                <c:pt idx="240">
                  <c:v>179.63</c:v>
                </c:pt>
                <c:pt idx="241">
                  <c:v>181.18</c:v>
                </c:pt>
                <c:pt idx="242">
                  <c:v>180.66</c:v>
                </c:pt>
                <c:pt idx="243">
                  <c:v>179.83</c:v>
                </c:pt>
                <c:pt idx="244">
                  <c:v>189.55</c:v>
                </c:pt>
                <c:pt idx="245">
                  <c:v>191.85</c:v>
                </c:pt>
                <c:pt idx="246">
                  <c:v>190.92</c:v>
                </c:pt>
                <c:pt idx="247">
                  <c:v>188.63</c:v>
                </c:pt>
                <c:pt idx="248">
                  <c:v>182.08</c:v>
                </c:pt>
                <c:pt idx="249">
                  <c:v>189.82</c:v>
                </c:pt>
                <c:pt idx="250">
                  <c:v>202.17</c:v>
                </c:pt>
                <c:pt idx="251">
                  <c:v>211.28</c:v>
                </c:pt>
                <c:pt idx="252">
                  <c:v>211.78</c:v>
                </c:pt>
                <c:pt idx="253">
                  <c:v>226.92</c:v>
                </c:pt>
                <c:pt idx="254">
                  <c:v>238.9</c:v>
                </c:pt>
                <c:pt idx="255">
                  <c:v>235.52</c:v>
                </c:pt>
                <c:pt idx="256">
                  <c:v>247.35</c:v>
                </c:pt>
                <c:pt idx="257">
                  <c:v>250.84</c:v>
                </c:pt>
                <c:pt idx="258">
                  <c:v>236.12</c:v>
                </c:pt>
                <c:pt idx="259">
                  <c:v>252.93</c:v>
                </c:pt>
                <c:pt idx="260">
                  <c:v>231.32</c:v>
                </c:pt>
                <c:pt idx="261">
                  <c:v>243.98</c:v>
                </c:pt>
                <c:pt idx="262">
                  <c:v>249.22</c:v>
                </c:pt>
                <c:pt idx="263">
                  <c:v>242.17</c:v>
                </c:pt>
                <c:pt idx="264">
                  <c:v>274.08</c:v>
                </c:pt>
                <c:pt idx="265">
                  <c:v>284.2</c:v>
                </c:pt>
                <c:pt idx="266">
                  <c:v>291.7</c:v>
                </c:pt>
                <c:pt idx="267">
                  <c:v>288.36</c:v>
                </c:pt>
                <c:pt idx="268">
                  <c:v>290.10000000000002</c:v>
                </c:pt>
                <c:pt idx="269">
                  <c:v>304</c:v>
                </c:pt>
                <c:pt idx="270">
                  <c:v>318.66000000000003</c:v>
                </c:pt>
                <c:pt idx="271">
                  <c:v>329.8</c:v>
                </c:pt>
                <c:pt idx="272">
                  <c:v>321.83</c:v>
                </c:pt>
                <c:pt idx="273">
                  <c:v>251.79</c:v>
                </c:pt>
                <c:pt idx="274">
                  <c:v>230.3</c:v>
                </c:pt>
                <c:pt idx="275">
                  <c:v>247.08</c:v>
                </c:pt>
                <c:pt idx="276">
                  <c:v>257.07</c:v>
                </c:pt>
                <c:pt idx="277">
                  <c:v>267.82</c:v>
                </c:pt>
                <c:pt idx="278">
                  <c:v>258.89</c:v>
                </c:pt>
                <c:pt idx="279">
                  <c:v>261.33</c:v>
                </c:pt>
                <c:pt idx="280">
                  <c:v>262.16000000000003</c:v>
                </c:pt>
                <c:pt idx="281">
                  <c:v>273.5</c:v>
                </c:pt>
                <c:pt idx="282">
                  <c:v>272.02</c:v>
                </c:pt>
                <c:pt idx="283">
                  <c:v>261.52</c:v>
                </c:pt>
                <c:pt idx="284">
                  <c:v>271.91000000000003</c:v>
                </c:pt>
                <c:pt idx="285">
                  <c:v>278.97000000000003</c:v>
                </c:pt>
                <c:pt idx="286">
                  <c:v>273.7</c:v>
                </c:pt>
                <c:pt idx="287">
                  <c:v>277.72000000000003</c:v>
                </c:pt>
                <c:pt idx="288">
                  <c:v>297.47000000000003</c:v>
                </c:pt>
                <c:pt idx="289">
                  <c:v>288.86</c:v>
                </c:pt>
                <c:pt idx="290">
                  <c:v>294.87</c:v>
                </c:pt>
                <c:pt idx="291">
                  <c:v>309.64</c:v>
                </c:pt>
                <c:pt idx="292">
                  <c:v>320.52</c:v>
                </c:pt>
                <c:pt idx="293">
                  <c:v>317.98</c:v>
                </c:pt>
                <c:pt idx="294">
                  <c:v>346.08</c:v>
                </c:pt>
                <c:pt idx="295">
                  <c:v>351.45</c:v>
                </c:pt>
                <c:pt idx="296">
                  <c:v>349.15</c:v>
                </c:pt>
                <c:pt idx="297">
                  <c:v>340.36</c:v>
                </c:pt>
                <c:pt idx="298">
                  <c:v>345.99</c:v>
                </c:pt>
                <c:pt idx="299">
                  <c:v>353.4</c:v>
                </c:pt>
                <c:pt idx="300">
                  <c:v>329.08</c:v>
                </c:pt>
                <c:pt idx="301">
                  <c:v>331.89</c:v>
                </c:pt>
                <c:pt idx="302">
                  <c:v>339.94</c:v>
                </c:pt>
                <c:pt idx="303">
                  <c:v>330.8</c:v>
                </c:pt>
                <c:pt idx="304">
                  <c:v>361.23</c:v>
                </c:pt>
                <c:pt idx="305">
                  <c:v>358.02</c:v>
                </c:pt>
                <c:pt idx="306">
                  <c:v>356.15</c:v>
                </c:pt>
                <c:pt idx="307">
                  <c:v>322.56</c:v>
                </c:pt>
                <c:pt idx="308">
                  <c:v>306.05</c:v>
                </c:pt>
                <c:pt idx="309">
                  <c:v>304</c:v>
                </c:pt>
                <c:pt idx="310">
                  <c:v>322.22000000000003</c:v>
                </c:pt>
                <c:pt idx="311">
                  <c:v>330.22</c:v>
                </c:pt>
                <c:pt idx="312">
                  <c:v>343.93</c:v>
                </c:pt>
                <c:pt idx="313">
                  <c:v>367.07</c:v>
                </c:pt>
                <c:pt idx="314">
                  <c:v>375.22</c:v>
                </c:pt>
                <c:pt idx="315">
                  <c:v>375.34</c:v>
                </c:pt>
                <c:pt idx="316">
                  <c:v>389.83</c:v>
                </c:pt>
                <c:pt idx="317">
                  <c:v>371.16</c:v>
                </c:pt>
                <c:pt idx="318">
                  <c:v>387.81</c:v>
                </c:pt>
                <c:pt idx="319">
                  <c:v>395.43</c:v>
                </c:pt>
                <c:pt idx="320">
                  <c:v>387.86</c:v>
                </c:pt>
                <c:pt idx="321">
                  <c:v>392.45</c:v>
                </c:pt>
                <c:pt idx="322">
                  <c:v>375.22</c:v>
                </c:pt>
                <c:pt idx="323">
                  <c:v>417.09</c:v>
                </c:pt>
                <c:pt idx="324">
                  <c:v>408.78</c:v>
                </c:pt>
                <c:pt idx="325">
                  <c:v>412.7</c:v>
                </c:pt>
                <c:pt idx="326">
                  <c:v>403.69</c:v>
                </c:pt>
                <c:pt idx="327">
                  <c:v>414.95</c:v>
                </c:pt>
                <c:pt idx="328">
                  <c:v>415.35</c:v>
                </c:pt>
                <c:pt idx="329">
                  <c:v>408.14</c:v>
                </c:pt>
                <c:pt idx="330">
                  <c:v>424.21</c:v>
                </c:pt>
                <c:pt idx="331">
                  <c:v>414.03</c:v>
                </c:pt>
                <c:pt idx="332">
                  <c:v>417.8</c:v>
                </c:pt>
                <c:pt idx="333">
                  <c:v>418.68</c:v>
                </c:pt>
                <c:pt idx="334">
                  <c:v>431.35</c:v>
                </c:pt>
                <c:pt idx="335">
                  <c:v>435.71</c:v>
                </c:pt>
                <c:pt idx="336">
                  <c:v>438.78</c:v>
                </c:pt>
                <c:pt idx="337">
                  <c:v>443.38</c:v>
                </c:pt>
                <c:pt idx="338">
                  <c:v>451.67</c:v>
                </c:pt>
                <c:pt idx="339">
                  <c:v>440.19</c:v>
                </c:pt>
                <c:pt idx="340">
                  <c:v>450.19</c:v>
                </c:pt>
                <c:pt idx="341">
                  <c:v>450.53</c:v>
                </c:pt>
                <c:pt idx="342">
                  <c:v>448.13</c:v>
                </c:pt>
                <c:pt idx="343">
                  <c:v>463.56</c:v>
                </c:pt>
                <c:pt idx="344">
                  <c:v>458.93</c:v>
                </c:pt>
                <c:pt idx="345">
                  <c:v>467.83</c:v>
                </c:pt>
                <c:pt idx="346">
                  <c:v>461.79</c:v>
                </c:pt>
                <c:pt idx="347">
                  <c:v>466.45</c:v>
                </c:pt>
                <c:pt idx="348">
                  <c:v>481.61</c:v>
                </c:pt>
                <c:pt idx="349">
                  <c:v>467.14</c:v>
                </c:pt>
                <c:pt idx="350">
                  <c:v>445.77</c:v>
                </c:pt>
                <c:pt idx="351">
                  <c:v>450.91</c:v>
                </c:pt>
                <c:pt idx="352">
                  <c:v>456.5</c:v>
                </c:pt>
                <c:pt idx="353">
                  <c:v>444.27</c:v>
                </c:pt>
                <c:pt idx="354">
                  <c:v>458.26</c:v>
                </c:pt>
                <c:pt idx="355">
                  <c:v>475.49</c:v>
                </c:pt>
                <c:pt idx="356">
                  <c:v>462.71</c:v>
                </c:pt>
                <c:pt idx="357">
                  <c:v>472.35</c:v>
                </c:pt>
                <c:pt idx="358">
                  <c:v>453.69</c:v>
                </c:pt>
                <c:pt idx="359">
                  <c:v>459.27</c:v>
                </c:pt>
                <c:pt idx="360">
                  <c:v>470.42</c:v>
                </c:pt>
                <c:pt idx="361">
                  <c:v>487.39</c:v>
                </c:pt>
                <c:pt idx="362">
                  <c:v>500.71</c:v>
                </c:pt>
                <c:pt idx="363">
                  <c:v>514.71</c:v>
                </c:pt>
                <c:pt idx="364">
                  <c:v>533.4</c:v>
                </c:pt>
                <c:pt idx="365">
                  <c:v>544.75</c:v>
                </c:pt>
                <c:pt idx="366">
                  <c:v>562.05999999999995</c:v>
                </c:pt>
                <c:pt idx="367">
                  <c:v>561.88</c:v>
                </c:pt>
                <c:pt idx="368">
                  <c:v>584.41</c:v>
                </c:pt>
                <c:pt idx="369">
                  <c:v>581.5</c:v>
                </c:pt>
                <c:pt idx="370">
                  <c:v>605.37</c:v>
                </c:pt>
                <c:pt idx="371">
                  <c:v>615.92999999999995</c:v>
                </c:pt>
                <c:pt idx="372">
                  <c:v>636.02</c:v>
                </c:pt>
                <c:pt idx="373">
                  <c:v>640.42999999999995</c:v>
                </c:pt>
                <c:pt idx="374">
                  <c:v>645.5</c:v>
                </c:pt>
                <c:pt idx="375">
                  <c:v>654.16999999999996</c:v>
                </c:pt>
                <c:pt idx="376">
                  <c:v>669.12</c:v>
                </c:pt>
                <c:pt idx="377">
                  <c:v>670.63</c:v>
                </c:pt>
                <c:pt idx="378">
                  <c:v>639.95000000000005</c:v>
                </c:pt>
                <c:pt idx="379">
                  <c:v>651.99</c:v>
                </c:pt>
                <c:pt idx="380">
                  <c:v>687.33</c:v>
                </c:pt>
                <c:pt idx="381">
                  <c:v>705.27</c:v>
                </c:pt>
                <c:pt idx="382">
                  <c:v>757.02</c:v>
                </c:pt>
                <c:pt idx="383">
                  <c:v>740.74</c:v>
                </c:pt>
                <c:pt idx="384">
                  <c:v>786.16</c:v>
                </c:pt>
                <c:pt idx="385">
                  <c:v>790.82</c:v>
                </c:pt>
                <c:pt idx="386">
                  <c:v>757.12</c:v>
                </c:pt>
                <c:pt idx="387">
                  <c:v>801.34</c:v>
                </c:pt>
                <c:pt idx="388">
                  <c:v>848.28</c:v>
                </c:pt>
                <c:pt idx="389">
                  <c:v>885.14</c:v>
                </c:pt>
                <c:pt idx="390">
                  <c:v>954.31</c:v>
                </c:pt>
                <c:pt idx="391">
                  <c:v>899.47</c:v>
                </c:pt>
                <c:pt idx="392">
                  <c:v>947.28</c:v>
                </c:pt>
                <c:pt idx="393">
                  <c:v>914.62</c:v>
                </c:pt>
                <c:pt idx="394">
                  <c:v>955.4</c:v>
                </c:pt>
                <c:pt idx="395">
                  <c:v>970.43</c:v>
                </c:pt>
                <c:pt idx="396">
                  <c:v>980.28</c:v>
                </c:pt>
                <c:pt idx="397">
                  <c:v>1049.3399999999999</c:v>
                </c:pt>
                <c:pt idx="398">
                  <c:v>1101.75</c:v>
                </c:pt>
                <c:pt idx="399">
                  <c:v>1111.75</c:v>
                </c:pt>
                <c:pt idx="400">
                  <c:v>1090.82</c:v>
                </c:pt>
                <c:pt idx="401">
                  <c:v>1133.8399999999999</c:v>
                </c:pt>
                <c:pt idx="402">
                  <c:v>1120.67</c:v>
                </c:pt>
                <c:pt idx="403">
                  <c:v>957.28</c:v>
                </c:pt>
                <c:pt idx="404">
                  <c:v>1017.01</c:v>
                </c:pt>
                <c:pt idx="405">
                  <c:v>1098.67</c:v>
                </c:pt>
                <c:pt idx="406">
                  <c:v>1163.6300000000001</c:v>
                </c:pt>
                <c:pt idx="407">
                  <c:v>1229.23</c:v>
                </c:pt>
                <c:pt idx="408">
                  <c:v>1279.6400000000001</c:v>
                </c:pt>
                <c:pt idx="409">
                  <c:v>1238.33</c:v>
                </c:pt>
                <c:pt idx="410">
                  <c:v>1286.3699999999999</c:v>
                </c:pt>
                <c:pt idx="411">
                  <c:v>1335.18</c:v>
                </c:pt>
                <c:pt idx="412">
                  <c:v>1301.8399999999999</c:v>
                </c:pt>
                <c:pt idx="413">
                  <c:v>1372.71</c:v>
                </c:pt>
                <c:pt idx="414">
                  <c:v>1328.72</c:v>
                </c:pt>
                <c:pt idx="415">
                  <c:v>1320.41</c:v>
                </c:pt>
                <c:pt idx="416">
                  <c:v>1282.71</c:v>
                </c:pt>
                <c:pt idx="417">
                  <c:v>1362.93</c:v>
                </c:pt>
                <c:pt idx="418">
                  <c:v>1388.91</c:v>
                </c:pt>
                <c:pt idx="419">
                  <c:v>1469.25</c:v>
                </c:pt>
                <c:pt idx="420">
                  <c:v>1394.46</c:v>
                </c:pt>
                <c:pt idx="421">
                  <c:v>1366.42</c:v>
                </c:pt>
                <c:pt idx="422">
                  <c:v>1498.58</c:v>
                </c:pt>
                <c:pt idx="423">
                  <c:v>1452.43</c:v>
                </c:pt>
                <c:pt idx="424">
                  <c:v>1420.6</c:v>
                </c:pt>
                <c:pt idx="425">
                  <c:v>1454.6</c:v>
                </c:pt>
                <c:pt idx="426">
                  <c:v>1430.83</c:v>
                </c:pt>
                <c:pt idx="427">
                  <c:v>1517.68</c:v>
                </c:pt>
                <c:pt idx="428">
                  <c:v>1436.51</c:v>
                </c:pt>
                <c:pt idx="429">
                  <c:v>1429.4</c:v>
                </c:pt>
                <c:pt idx="430">
                  <c:v>1314.95</c:v>
                </c:pt>
                <c:pt idx="431">
                  <c:v>1320.28</c:v>
                </c:pt>
                <c:pt idx="432">
                  <c:v>1366.01</c:v>
                </c:pt>
                <c:pt idx="433">
                  <c:v>1239.94</c:v>
                </c:pt>
                <c:pt idx="434">
                  <c:v>1160.33</c:v>
                </c:pt>
                <c:pt idx="435">
                  <c:v>1249.46</c:v>
                </c:pt>
                <c:pt idx="436">
                  <c:v>1255.82</c:v>
                </c:pt>
                <c:pt idx="437">
                  <c:v>1224.3800000000001</c:v>
                </c:pt>
                <c:pt idx="438">
                  <c:v>1211.23</c:v>
                </c:pt>
                <c:pt idx="439">
                  <c:v>1133.58</c:v>
                </c:pt>
                <c:pt idx="440">
                  <c:v>1040.94</c:v>
                </c:pt>
                <c:pt idx="441">
                  <c:v>1059.78</c:v>
                </c:pt>
                <c:pt idx="442">
                  <c:v>1139.45</c:v>
                </c:pt>
                <c:pt idx="443">
                  <c:v>1148.08</c:v>
                </c:pt>
                <c:pt idx="444">
                  <c:v>1130.2</c:v>
                </c:pt>
                <c:pt idx="445">
                  <c:v>1106.73</c:v>
                </c:pt>
                <c:pt idx="446">
                  <c:v>1147.3900000000001</c:v>
                </c:pt>
                <c:pt idx="447">
                  <c:v>1076.92</c:v>
                </c:pt>
                <c:pt idx="448">
                  <c:v>1067.1400000000001</c:v>
                </c:pt>
                <c:pt idx="449">
                  <c:v>989.82</c:v>
                </c:pt>
                <c:pt idx="450">
                  <c:v>911.62</c:v>
                </c:pt>
                <c:pt idx="451">
                  <c:v>916.07</c:v>
                </c:pt>
                <c:pt idx="452">
                  <c:v>815.28</c:v>
                </c:pt>
                <c:pt idx="453">
                  <c:v>885.76</c:v>
                </c:pt>
                <c:pt idx="454">
                  <c:v>936.31</c:v>
                </c:pt>
                <c:pt idx="455">
                  <c:v>879.82</c:v>
                </c:pt>
                <c:pt idx="456">
                  <c:v>855.7</c:v>
                </c:pt>
                <c:pt idx="457">
                  <c:v>841.15</c:v>
                </c:pt>
                <c:pt idx="458">
                  <c:v>848.18</c:v>
                </c:pt>
                <c:pt idx="459">
                  <c:v>916.92</c:v>
                </c:pt>
                <c:pt idx="460">
                  <c:v>963.59</c:v>
                </c:pt>
                <c:pt idx="461">
                  <c:v>974.5</c:v>
                </c:pt>
                <c:pt idx="462">
                  <c:v>990.31</c:v>
                </c:pt>
                <c:pt idx="463">
                  <c:v>1008.01</c:v>
                </c:pt>
                <c:pt idx="464">
                  <c:v>995.97</c:v>
                </c:pt>
                <c:pt idx="465">
                  <c:v>1050.71</c:v>
                </c:pt>
                <c:pt idx="466">
                  <c:v>1058.2</c:v>
                </c:pt>
                <c:pt idx="467">
                  <c:v>1111.92</c:v>
                </c:pt>
                <c:pt idx="468">
                  <c:v>1131.1300000000001</c:v>
                </c:pt>
                <c:pt idx="469">
                  <c:v>1144.94</c:v>
                </c:pt>
                <c:pt idx="470">
                  <c:v>1126.21</c:v>
                </c:pt>
                <c:pt idx="471">
                  <c:v>1107.3</c:v>
                </c:pt>
                <c:pt idx="472">
                  <c:v>1120.68</c:v>
                </c:pt>
                <c:pt idx="473">
                  <c:v>1140.8399999999999</c:v>
                </c:pt>
                <c:pt idx="474">
                  <c:v>1101.72</c:v>
                </c:pt>
                <c:pt idx="475">
                  <c:v>1104.24</c:v>
                </c:pt>
                <c:pt idx="476">
                  <c:v>1114.58</c:v>
                </c:pt>
                <c:pt idx="477">
                  <c:v>1130.2</c:v>
                </c:pt>
                <c:pt idx="478">
                  <c:v>1173.82</c:v>
                </c:pt>
                <c:pt idx="479">
                  <c:v>1211.92</c:v>
                </c:pt>
                <c:pt idx="480">
                  <c:v>1181.27</c:v>
                </c:pt>
                <c:pt idx="481">
                  <c:v>1203.5999999999999</c:v>
                </c:pt>
                <c:pt idx="482">
                  <c:v>1180.5899999999999</c:v>
                </c:pt>
                <c:pt idx="483">
                  <c:v>1156.8499999999999</c:v>
                </c:pt>
                <c:pt idx="484">
                  <c:v>1191.5</c:v>
                </c:pt>
                <c:pt idx="485">
                  <c:v>1191.33</c:v>
                </c:pt>
                <c:pt idx="486">
                  <c:v>1234.18</c:v>
                </c:pt>
                <c:pt idx="487">
                  <c:v>1220.33</c:v>
                </c:pt>
                <c:pt idx="488">
                  <c:v>1228.81</c:v>
                </c:pt>
                <c:pt idx="489">
                  <c:v>1207.01</c:v>
                </c:pt>
                <c:pt idx="490">
                  <c:v>1249.48</c:v>
                </c:pt>
                <c:pt idx="491">
                  <c:v>1248.29</c:v>
                </c:pt>
                <c:pt idx="492">
                  <c:v>1280.08</c:v>
                </c:pt>
                <c:pt idx="493">
                  <c:v>1280.6600000000001</c:v>
                </c:pt>
                <c:pt idx="494">
                  <c:v>1294.8699999999999</c:v>
                </c:pt>
                <c:pt idx="495">
                  <c:v>1310.6099999999999</c:v>
                </c:pt>
                <c:pt idx="496">
                  <c:v>1270.0899999999999</c:v>
                </c:pt>
                <c:pt idx="497">
                  <c:v>1270.2</c:v>
                </c:pt>
                <c:pt idx="498">
                  <c:v>1276.6600000000001</c:v>
                </c:pt>
                <c:pt idx="499">
                  <c:v>1303.82</c:v>
                </c:pt>
                <c:pt idx="500">
                  <c:v>1335.85</c:v>
                </c:pt>
                <c:pt idx="501">
                  <c:v>1377.94</c:v>
                </c:pt>
                <c:pt idx="502">
                  <c:v>1400.63</c:v>
                </c:pt>
                <c:pt idx="503">
                  <c:v>1418.3</c:v>
                </c:pt>
                <c:pt idx="504">
                  <c:v>1438.24</c:v>
                </c:pt>
                <c:pt idx="505">
                  <c:v>1406.82</c:v>
                </c:pt>
                <c:pt idx="506">
                  <c:v>1420.86</c:v>
                </c:pt>
                <c:pt idx="507">
                  <c:v>1482.37</c:v>
                </c:pt>
                <c:pt idx="508">
                  <c:v>1530.62</c:v>
                </c:pt>
                <c:pt idx="509">
                  <c:v>1503.35</c:v>
                </c:pt>
                <c:pt idx="510">
                  <c:v>1455.27</c:v>
                </c:pt>
                <c:pt idx="511">
                  <c:v>1473.99</c:v>
                </c:pt>
                <c:pt idx="512">
                  <c:v>1526.75</c:v>
                </c:pt>
                <c:pt idx="513">
                  <c:v>1549.38</c:v>
                </c:pt>
                <c:pt idx="514">
                  <c:v>1481.14</c:v>
                </c:pt>
                <c:pt idx="515">
                  <c:v>1468.36</c:v>
                </c:pt>
                <c:pt idx="516">
                  <c:v>1378.55</c:v>
                </c:pt>
                <c:pt idx="517">
                  <c:v>1330.63</c:v>
                </c:pt>
                <c:pt idx="518">
                  <c:v>1322.7</c:v>
                </c:pt>
                <c:pt idx="519">
                  <c:v>1385.59</c:v>
                </c:pt>
                <c:pt idx="520">
                  <c:v>1400.38</c:v>
                </c:pt>
                <c:pt idx="521">
                  <c:v>1280</c:v>
                </c:pt>
                <c:pt idx="522">
                  <c:v>1267.3800000000001</c:v>
                </c:pt>
                <c:pt idx="523">
                  <c:v>1282.83</c:v>
                </c:pt>
                <c:pt idx="524">
                  <c:v>1166.3599999999999</c:v>
                </c:pt>
                <c:pt idx="525">
                  <c:v>968.75</c:v>
                </c:pt>
                <c:pt idx="526">
                  <c:v>896.24</c:v>
                </c:pt>
                <c:pt idx="527">
                  <c:v>903.25</c:v>
                </c:pt>
                <c:pt idx="528">
                  <c:v>825.88</c:v>
                </c:pt>
                <c:pt idx="529">
                  <c:v>735.09</c:v>
                </c:pt>
                <c:pt idx="530">
                  <c:v>797.87</c:v>
                </c:pt>
                <c:pt idx="531">
                  <c:v>872.81</c:v>
                </c:pt>
                <c:pt idx="532">
                  <c:v>919.14</c:v>
                </c:pt>
                <c:pt idx="533">
                  <c:v>919.32</c:v>
                </c:pt>
                <c:pt idx="534">
                  <c:v>987.48</c:v>
                </c:pt>
                <c:pt idx="535">
                  <c:v>1020.62</c:v>
                </c:pt>
                <c:pt idx="536">
                  <c:v>1057.08</c:v>
                </c:pt>
                <c:pt idx="537">
                  <c:v>1036.19</c:v>
                </c:pt>
                <c:pt idx="538">
                  <c:v>1095.6300000000001</c:v>
                </c:pt>
                <c:pt idx="539">
                  <c:v>1115.0999999999999</c:v>
                </c:pt>
                <c:pt idx="540">
                  <c:v>1073.8699999999999</c:v>
                </c:pt>
                <c:pt idx="541">
                  <c:v>1104.49</c:v>
                </c:pt>
                <c:pt idx="542">
                  <c:v>1169.43</c:v>
                </c:pt>
                <c:pt idx="543">
                  <c:v>1186.69</c:v>
                </c:pt>
                <c:pt idx="544">
                  <c:v>1089.4100000000001</c:v>
                </c:pt>
                <c:pt idx="545">
                  <c:v>1030.71</c:v>
                </c:pt>
                <c:pt idx="546">
                  <c:v>1101.5999999999999</c:v>
                </c:pt>
                <c:pt idx="547">
                  <c:v>1049.33</c:v>
                </c:pt>
                <c:pt idx="548">
                  <c:v>1141.2</c:v>
                </c:pt>
                <c:pt idx="549">
                  <c:v>1183.26</c:v>
                </c:pt>
                <c:pt idx="550">
                  <c:v>1180.55</c:v>
                </c:pt>
                <c:pt idx="551">
                  <c:v>1257.6400000000001</c:v>
                </c:pt>
                <c:pt idx="552">
                  <c:v>1286.1199999999999</c:v>
                </c:pt>
                <c:pt idx="553">
                  <c:v>1327.22</c:v>
                </c:pt>
                <c:pt idx="554">
                  <c:v>1325.83</c:v>
                </c:pt>
                <c:pt idx="555">
                  <c:v>1363.61</c:v>
                </c:pt>
                <c:pt idx="556">
                  <c:v>1345.2</c:v>
                </c:pt>
                <c:pt idx="557">
                  <c:v>1320.64</c:v>
                </c:pt>
                <c:pt idx="558">
                  <c:v>1292.28</c:v>
                </c:pt>
                <c:pt idx="559">
                  <c:v>1218.8900000000001</c:v>
                </c:pt>
                <c:pt idx="560">
                  <c:v>1131.42</c:v>
                </c:pt>
                <c:pt idx="561">
                  <c:v>1253.3</c:v>
                </c:pt>
                <c:pt idx="562">
                  <c:v>1246.96</c:v>
                </c:pt>
                <c:pt idx="563">
                  <c:v>1257.5999999999999</c:v>
                </c:pt>
                <c:pt idx="564">
                  <c:v>1312.41</c:v>
                </c:pt>
                <c:pt idx="565">
                  <c:v>1365.68</c:v>
                </c:pt>
                <c:pt idx="566">
                  <c:v>1408.47</c:v>
                </c:pt>
                <c:pt idx="567">
                  <c:v>1397.91</c:v>
                </c:pt>
                <c:pt idx="568">
                  <c:v>1310.33</c:v>
                </c:pt>
                <c:pt idx="569">
                  <c:v>1362.16</c:v>
                </c:pt>
                <c:pt idx="570">
                  <c:v>1379.32</c:v>
                </c:pt>
                <c:pt idx="571">
                  <c:v>1406.58</c:v>
                </c:pt>
                <c:pt idx="572">
                  <c:v>1440.67</c:v>
                </c:pt>
                <c:pt idx="573">
                  <c:v>1412.16</c:v>
                </c:pt>
                <c:pt idx="574">
                  <c:v>1416.18</c:v>
                </c:pt>
                <c:pt idx="575">
                  <c:v>1426.19</c:v>
                </c:pt>
                <c:pt idx="576">
                  <c:v>1498.11</c:v>
                </c:pt>
                <c:pt idx="577">
                  <c:v>1514.68</c:v>
                </c:pt>
                <c:pt idx="578">
                  <c:v>1569.19</c:v>
                </c:pt>
                <c:pt idx="579">
                  <c:v>1597.57</c:v>
                </c:pt>
                <c:pt idx="580">
                  <c:v>1630.74</c:v>
                </c:pt>
                <c:pt idx="581">
                  <c:v>1606.28</c:v>
                </c:pt>
                <c:pt idx="582">
                  <c:v>1685.73</c:v>
                </c:pt>
                <c:pt idx="583">
                  <c:v>1632.97</c:v>
                </c:pt>
                <c:pt idx="584">
                  <c:v>1681.55</c:v>
                </c:pt>
                <c:pt idx="585">
                  <c:v>1756.54</c:v>
                </c:pt>
                <c:pt idx="586">
                  <c:v>1805.81</c:v>
                </c:pt>
                <c:pt idx="587">
                  <c:v>1848.36</c:v>
                </c:pt>
                <c:pt idx="588">
                  <c:v>1782.59</c:v>
                </c:pt>
                <c:pt idx="589">
                  <c:v>1859.45</c:v>
                </c:pt>
                <c:pt idx="590">
                  <c:v>1872.34</c:v>
                </c:pt>
                <c:pt idx="591">
                  <c:v>1883.95</c:v>
                </c:pt>
                <c:pt idx="592">
                  <c:v>1923.57</c:v>
                </c:pt>
                <c:pt idx="593">
                  <c:v>1960.23</c:v>
                </c:pt>
                <c:pt idx="594">
                  <c:v>1930.67</c:v>
                </c:pt>
                <c:pt idx="595">
                  <c:v>2003.37</c:v>
                </c:pt>
                <c:pt idx="596">
                  <c:v>1972.29</c:v>
                </c:pt>
                <c:pt idx="597">
                  <c:v>2018.05</c:v>
                </c:pt>
                <c:pt idx="598">
                  <c:v>2067.56</c:v>
                </c:pt>
                <c:pt idx="599">
                  <c:v>2058.9</c:v>
                </c:pt>
                <c:pt idx="600">
                  <c:v>1994.99</c:v>
                </c:pt>
                <c:pt idx="601">
                  <c:v>2104.5</c:v>
                </c:pt>
                <c:pt idx="602">
                  <c:v>2067.89</c:v>
                </c:pt>
                <c:pt idx="603">
                  <c:v>2085.5100000000002</c:v>
                </c:pt>
                <c:pt idx="604">
                  <c:v>2107.39</c:v>
                </c:pt>
                <c:pt idx="605">
                  <c:v>2063.11</c:v>
                </c:pt>
                <c:pt idx="606">
                  <c:v>2103.84</c:v>
                </c:pt>
                <c:pt idx="607">
                  <c:v>1972.18</c:v>
                </c:pt>
                <c:pt idx="608">
                  <c:v>1920.03</c:v>
                </c:pt>
                <c:pt idx="609">
                  <c:v>2079.36</c:v>
                </c:pt>
                <c:pt idx="610">
                  <c:v>2080.41</c:v>
                </c:pt>
                <c:pt idx="611">
                  <c:v>2043.94</c:v>
                </c:pt>
                <c:pt idx="612">
                  <c:v>1940.24</c:v>
                </c:pt>
                <c:pt idx="613">
                  <c:v>1932.23</c:v>
                </c:pt>
                <c:pt idx="614">
                  <c:v>2059.7399999999998</c:v>
                </c:pt>
                <c:pt idx="615">
                  <c:v>2065.3000000000002</c:v>
                </c:pt>
                <c:pt idx="616">
                  <c:v>2096.96</c:v>
                </c:pt>
                <c:pt idx="617">
                  <c:v>2098.86</c:v>
                </c:pt>
                <c:pt idx="618">
                  <c:v>2173.6</c:v>
                </c:pt>
                <c:pt idx="619">
                  <c:v>2170.9499999999998</c:v>
                </c:pt>
                <c:pt idx="620">
                  <c:v>2168.27</c:v>
                </c:pt>
                <c:pt idx="621">
                  <c:v>2126.15</c:v>
                </c:pt>
                <c:pt idx="622">
                  <c:v>2198.81</c:v>
                </c:pt>
                <c:pt idx="623">
                  <c:v>2238.83</c:v>
                </c:pt>
                <c:pt idx="624">
                  <c:v>2278.87</c:v>
                </c:pt>
                <c:pt idx="625">
                  <c:v>2363.64</c:v>
                </c:pt>
                <c:pt idx="626">
                  <c:v>2362.7199999999998</c:v>
                </c:pt>
                <c:pt idx="627">
                  <c:v>2384.1999999999998</c:v>
                </c:pt>
                <c:pt idx="628">
                  <c:v>2411.8000000000002</c:v>
                </c:pt>
                <c:pt idx="629">
                  <c:v>2423.41</c:v>
                </c:pt>
                <c:pt idx="630">
                  <c:v>2470.3000000000002</c:v>
                </c:pt>
                <c:pt idx="631">
                  <c:v>2471.65</c:v>
                </c:pt>
                <c:pt idx="632">
                  <c:v>2519.36</c:v>
                </c:pt>
                <c:pt idx="633">
                  <c:v>2575.2600000000002</c:v>
                </c:pt>
                <c:pt idx="634">
                  <c:v>2647.58</c:v>
                </c:pt>
                <c:pt idx="635">
                  <c:v>2673.61</c:v>
                </c:pt>
                <c:pt idx="636">
                  <c:v>2823.81</c:v>
                </c:pt>
                <c:pt idx="637">
                  <c:v>2713.83</c:v>
                </c:pt>
                <c:pt idx="638">
                  <c:v>2640.87</c:v>
                </c:pt>
                <c:pt idx="639">
                  <c:v>2648.05</c:v>
                </c:pt>
                <c:pt idx="640">
                  <c:v>2705.27</c:v>
                </c:pt>
                <c:pt idx="641">
                  <c:v>2718.37</c:v>
                </c:pt>
                <c:pt idx="642">
                  <c:v>2816.29</c:v>
                </c:pt>
                <c:pt idx="643">
                  <c:v>2901.52</c:v>
                </c:pt>
                <c:pt idx="644">
                  <c:v>2913.98</c:v>
                </c:pt>
                <c:pt idx="645">
                  <c:v>2711.74</c:v>
                </c:pt>
                <c:pt idx="646">
                  <c:v>2760.17</c:v>
                </c:pt>
                <c:pt idx="647">
                  <c:v>2506.85</c:v>
                </c:pt>
                <c:pt idx="648">
                  <c:v>2704.1</c:v>
                </c:pt>
                <c:pt idx="649">
                  <c:v>2784.49</c:v>
                </c:pt>
                <c:pt idx="650">
                  <c:v>2834.4</c:v>
                </c:pt>
                <c:pt idx="651">
                  <c:v>2945.83</c:v>
                </c:pt>
                <c:pt idx="652">
                  <c:v>2752.06</c:v>
                </c:pt>
                <c:pt idx="653">
                  <c:v>2941.76</c:v>
                </c:pt>
                <c:pt idx="654">
                  <c:v>2980.38</c:v>
                </c:pt>
                <c:pt idx="655">
                  <c:v>2926.46</c:v>
                </c:pt>
                <c:pt idx="656">
                  <c:v>2976.74</c:v>
                </c:pt>
                <c:pt idx="657">
                  <c:v>3037.56</c:v>
                </c:pt>
                <c:pt idx="658">
                  <c:v>3140.98</c:v>
                </c:pt>
                <c:pt idx="659">
                  <c:v>3230.78</c:v>
                </c:pt>
                <c:pt idx="660">
                  <c:v>3225.52</c:v>
                </c:pt>
                <c:pt idx="661">
                  <c:v>2954.22</c:v>
                </c:pt>
                <c:pt idx="662">
                  <c:v>2584.59</c:v>
                </c:pt>
                <c:pt idx="663">
                  <c:v>2912.43</c:v>
                </c:pt>
                <c:pt idx="664">
                  <c:v>3044.31</c:v>
                </c:pt>
                <c:pt idx="665">
                  <c:v>3100.29</c:v>
                </c:pt>
                <c:pt idx="666">
                  <c:v>3271.12</c:v>
                </c:pt>
                <c:pt idx="667">
                  <c:v>3500.31</c:v>
                </c:pt>
                <c:pt idx="668">
                  <c:v>3363</c:v>
                </c:pt>
                <c:pt idx="669">
                  <c:v>3269.96</c:v>
                </c:pt>
                <c:pt idx="670">
                  <c:v>3621.63</c:v>
                </c:pt>
                <c:pt idx="671">
                  <c:v>3756.07</c:v>
                </c:pt>
                <c:pt idx="672">
                  <c:v>3714.24</c:v>
                </c:pt>
                <c:pt idx="673">
                  <c:v>3811.15</c:v>
                </c:pt>
                <c:pt idx="674">
                  <c:v>3972.89</c:v>
                </c:pt>
                <c:pt idx="675">
                  <c:v>4181.17</c:v>
                </c:pt>
                <c:pt idx="676">
                  <c:v>4204.1099999999997</c:v>
                </c:pt>
                <c:pt idx="677">
                  <c:v>4297.5</c:v>
                </c:pt>
                <c:pt idx="678">
                  <c:v>4395.26</c:v>
                </c:pt>
                <c:pt idx="679">
                  <c:v>4522.68</c:v>
                </c:pt>
                <c:pt idx="680">
                  <c:v>4307.54</c:v>
                </c:pt>
                <c:pt idx="681">
                  <c:v>4605.38</c:v>
                </c:pt>
                <c:pt idx="682">
                  <c:v>4567</c:v>
                </c:pt>
                <c:pt idx="683">
                  <c:v>4766.18</c:v>
                </c:pt>
                <c:pt idx="684">
                  <c:v>4515.55</c:v>
                </c:pt>
                <c:pt idx="685">
                  <c:v>4373.9399999999996</c:v>
                </c:pt>
                <c:pt idx="686">
                  <c:v>4530.41</c:v>
                </c:pt>
                <c:pt idx="687">
                  <c:v>4131.93</c:v>
                </c:pt>
                <c:pt idx="688">
                  <c:v>4132.1499999999996</c:v>
                </c:pt>
                <c:pt idx="689">
                  <c:v>3785.38</c:v>
                </c:pt>
                <c:pt idx="690">
                  <c:v>4130.29</c:v>
                </c:pt>
                <c:pt idx="691">
                  <c:v>3955</c:v>
                </c:pt>
                <c:pt idx="692">
                  <c:v>3585.62</c:v>
                </c:pt>
                <c:pt idx="693">
                  <c:v>3871.98</c:v>
                </c:pt>
                <c:pt idx="694">
                  <c:v>4080.11</c:v>
                </c:pt>
                <c:pt idx="695">
                  <c:v>3839.5</c:v>
                </c:pt>
                <c:pt idx="696">
                  <c:v>4076.6</c:v>
                </c:pt>
                <c:pt idx="697">
                  <c:v>3970.15</c:v>
                </c:pt>
                <c:pt idx="698">
                  <c:v>4109.3100000000004</c:v>
                </c:pt>
                <c:pt idx="699">
                  <c:v>4169.4799999999996</c:v>
                </c:pt>
                <c:pt idx="700">
                  <c:v>4179.83</c:v>
                </c:pt>
                <c:pt idx="701">
                  <c:v>4450.38</c:v>
                </c:pt>
                <c:pt idx="702">
                  <c:v>4588.96</c:v>
                </c:pt>
                <c:pt idx="703">
                  <c:v>4507.66</c:v>
                </c:pt>
                <c:pt idx="704">
                  <c:v>4288.05</c:v>
                </c:pt>
                <c:pt idx="705">
                  <c:v>4193.8</c:v>
                </c:pt>
                <c:pt idx="706">
                  <c:v>4567.8</c:v>
                </c:pt>
                <c:pt idx="707">
                  <c:v>4769.83</c:v>
                </c:pt>
                <c:pt idx="708">
                  <c:v>4845.6499999999996</c:v>
                </c:pt>
                <c:pt idx="709">
                  <c:v>5096.2700000000004</c:v>
                </c:pt>
                <c:pt idx="710">
                  <c:v>5254.35</c:v>
                </c:pt>
                <c:pt idx="711">
                  <c:v>5035.6899999999996</c:v>
                </c:pt>
                <c:pt idx="712">
                  <c:v>5277.51</c:v>
                </c:pt>
                <c:pt idx="713">
                  <c:v>5460.48</c:v>
                </c:pt>
                <c:pt idx="714">
                  <c:v>5522.3</c:v>
                </c:pt>
                <c:pt idx="715">
                  <c:v>5648.4</c:v>
                </c:pt>
                <c:pt idx="716">
                  <c:v>5762.48</c:v>
                </c:pt>
                <c:pt idx="717">
                  <c:v>5705.45</c:v>
                </c:pt>
                <c:pt idx="718">
                  <c:v>6032.38</c:v>
                </c:pt>
                <c:pt idx="719">
                  <c:v>5881.63</c:v>
                </c:pt>
                <c:pt idx="720">
                  <c:v>6040.53</c:v>
                </c:pt>
                <c:pt idx="721">
                  <c:v>5954.5</c:v>
                </c:pt>
                <c:pt idx="722">
                  <c:v>5611.85</c:v>
                </c:pt>
                <c:pt idx="723">
                  <c:v>5569.06</c:v>
                </c:pt>
                <c:pt idx="724">
                  <c:v>5911.69</c:v>
                </c:pt>
                <c:pt idx="725">
                  <c:v>6204.95</c:v>
                </c:pt>
                <c:pt idx="726">
                  <c:v>6339.39</c:v>
                </c:pt>
                <c:pt idx="727">
                  <c:v>6460.26</c:v>
                </c:pt>
                <c:pt idx="728">
                  <c:v>6688.46</c:v>
                </c:pt>
                <c:pt idx="729">
                  <c:v>6840.2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BF-4949-B944-9CD9BFBD8AC2}"/>
            </c:ext>
          </c:extLst>
        </c:ser>
        <c:ser>
          <c:idx val="1"/>
          <c:order val="1"/>
          <c:tx>
            <c:v>GOLD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Sheet1!$A$600:$A$1332</c:f>
              <c:numCache>
                <c:formatCode>m/d/yy</c:formatCode>
                <c:ptCount val="733"/>
                <c:pt idx="0">
                  <c:v>23682</c:v>
                </c:pt>
                <c:pt idx="1">
                  <c:v>23712</c:v>
                </c:pt>
                <c:pt idx="2">
                  <c:v>23743</c:v>
                </c:pt>
                <c:pt idx="3">
                  <c:v>23774</c:v>
                </c:pt>
                <c:pt idx="4">
                  <c:v>23802</c:v>
                </c:pt>
                <c:pt idx="5">
                  <c:v>23833</c:v>
                </c:pt>
                <c:pt idx="6">
                  <c:v>23863</c:v>
                </c:pt>
                <c:pt idx="7">
                  <c:v>23894</c:v>
                </c:pt>
                <c:pt idx="8">
                  <c:v>23924</c:v>
                </c:pt>
                <c:pt idx="9">
                  <c:v>23955</c:v>
                </c:pt>
                <c:pt idx="10">
                  <c:v>23986</c:v>
                </c:pt>
                <c:pt idx="11">
                  <c:v>24016</c:v>
                </c:pt>
                <c:pt idx="12">
                  <c:v>24047</c:v>
                </c:pt>
                <c:pt idx="13">
                  <c:v>24077</c:v>
                </c:pt>
                <c:pt idx="14">
                  <c:v>24108</c:v>
                </c:pt>
                <c:pt idx="15">
                  <c:v>24139</c:v>
                </c:pt>
                <c:pt idx="16">
                  <c:v>24167</c:v>
                </c:pt>
                <c:pt idx="17">
                  <c:v>24198</c:v>
                </c:pt>
                <c:pt idx="18">
                  <c:v>24228</c:v>
                </c:pt>
                <c:pt idx="19">
                  <c:v>24259</c:v>
                </c:pt>
                <c:pt idx="20">
                  <c:v>24289</c:v>
                </c:pt>
                <c:pt idx="21">
                  <c:v>24320</c:v>
                </c:pt>
                <c:pt idx="22">
                  <c:v>24351</c:v>
                </c:pt>
                <c:pt idx="23">
                  <c:v>24381</c:v>
                </c:pt>
                <c:pt idx="24">
                  <c:v>24412</c:v>
                </c:pt>
                <c:pt idx="25">
                  <c:v>24442</c:v>
                </c:pt>
                <c:pt idx="26">
                  <c:v>24473</c:v>
                </c:pt>
                <c:pt idx="27">
                  <c:v>24504</c:v>
                </c:pt>
                <c:pt idx="28">
                  <c:v>24532</c:v>
                </c:pt>
                <c:pt idx="29">
                  <c:v>24563</c:v>
                </c:pt>
                <c:pt idx="30">
                  <c:v>24593</c:v>
                </c:pt>
                <c:pt idx="31">
                  <c:v>24624</c:v>
                </c:pt>
                <c:pt idx="32">
                  <c:v>24654</c:v>
                </c:pt>
                <c:pt idx="33">
                  <c:v>24685</c:v>
                </c:pt>
                <c:pt idx="34">
                  <c:v>24716</c:v>
                </c:pt>
                <c:pt idx="35">
                  <c:v>24746</c:v>
                </c:pt>
                <c:pt idx="36">
                  <c:v>24777</c:v>
                </c:pt>
                <c:pt idx="37">
                  <c:v>24807</c:v>
                </c:pt>
                <c:pt idx="38">
                  <c:v>24838</c:v>
                </c:pt>
                <c:pt idx="39">
                  <c:v>24869</c:v>
                </c:pt>
                <c:pt idx="40">
                  <c:v>24898</c:v>
                </c:pt>
                <c:pt idx="41">
                  <c:v>24929</c:v>
                </c:pt>
                <c:pt idx="42">
                  <c:v>24959</c:v>
                </c:pt>
                <c:pt idx="43">
                  <c:v>24990</c:v>
                </c:pt>
                <c:pt idx="44">
                  <c:v>25020</c:v>
                </c:pt>
                <c:pt idx="45">
                  <c:v>25051</c:v>
                </c:pt>
                <c:pt idx="46">
                  <c:v>25082</c:v>
                </c:pt>
                <c:pt idx="47">
                  <c:v>25112</c:v>
                </c:pt>
                <c:pt idx="48">
                  <c:v>25143</c:v>
                </c:pt>
                <c:pt idx="49">
                  <c:v>25173</c:v>
                </c:pt>
                <c:pt idx="50">
                  <c:v>25204</c:v>
                </c:pt>
                <c:pt idx="51">
                  <c:v>25235</c:v>
                </c:pt>
                <c:pt idx="52">
                  <c:v>25263</c:v>
                </c:pt>
                <c:pt idx="53">
                  <c:v>25294</c:v>
                </c:pt>
                <c:pt idx="54">
                  <c:v>25324</c:v>
                </c:pt>
                <c:pt idx="55">
                  <c:v>25355</c:v>
                </c:pt>
                <c:pt idx="56">
                  <c:v>25385</c:v>
                </c:pt>
                <c:pt idx="57">
                  <c:v>25416</c:v>
                </c:pt>
                <c:pt idx="58">
                  <c:v>25447</c:v>
                </c:pt>
                <c:pt idx="59">
                  <c:v>25477</c:v>
                </c:pt>
                <c:pt idx="60">
                  <c:v>25508</c:v>
                </c:pt>
                <c:pt idx="61">
                  <c:v>25538</c:v>
                </c:pt>
                <c:pt idx="62">
                  <c:v>25569</c:v>
                </c:pt>
                <c:pt idx="63">
                  <c:v>25600</c:v>
                </c:pt>
                <c:pt idx="64">
                  <c:v>25628</c:v>
                </c:pt>
                <c:pt idx="65">
                  <c:v>25659</c:v>
                </c:pt>
                <c:pt idx="66">
                  <c:v>25689</c:v>
                </c:pt>
                <c:pt idx="67">
                  <c:v>25720</c:v>
                </c:pt>
                <c:pt idx="68">
                  <c:v>25750</c:v>
                </c:pt>
                <c:pt idx="69">
                  <c:v>25781</c:v>
                </c:pt>
                <c:pt idx="70">
                  <c:v>25812</c:v>
                </c:pt>
                <c:pt idx="71">
                  <c:v>25842</c:v>
                </c:pt>
                <c:pt idx="72">
                  <c:v>25873</c:v>
                </c:pt>
                <c:pt idx="73">
                  <c:v>25903</c:v>
                </c:pt>
                <c:pt idx="74">
                  <c:v>25934</c:v>
                </c:pt>
                <c:pt idx="75">
                  <c:v>25965</c:v>
                </c:pt>
                <c:pt idx="76">
                  <c:v>25993</c:v>
                </c:pt>
                <c:pt idx="77">
                  <c:v>26024</c:v>
                </c:pt>
                <c:pt idx="78">
                  <c:v>26054</c:v>
                </c:pt>
                <c:pt idx="79">
                  <c:v>26085</c:v>
                </c:pt>
                <c:pt idx="80">
                  <c:v>26115</c:v>
                </c:pt>
                <c:pt idx="81">
                  <c:v>26146</c:v>
                </c:pt>
                <c:pt idx="82">
                  <c:v>26177</c:v>
                </c:pt>
                <c:pt idx="83">
                  <c:v>26207</c:v>
                </c:pt>
                <c:pt idx="84">
                  <c:v>26238</c:v>
                </c:pt>
                <c:pt idx="85">
                  <c:v>26268</c:v>
                </c:pt>
                <c:pt idx="86">
                  <c:v>26299</c:v>
                </c:pt>
                <c:pt idx="87">
                  <c:v>26330</c:v>
                </c:pt>
                <c:pt idx="88">
                  <c:v>26359</c:v>
                </c:pt>
                <c:pt idx="89">
                  <c:v>26390</c:v>
                </c:pt>
                <c:pt idx="90">
                  <c:v>26420</c:v>
                </c:pt>
                <c:pt idx="91">
                  <c:v>26451</c:v>
                </c:pt>
                <c:pt idx="92">
                  <c:v>26481</c:v>
                </c:pt>
                <c:pt idx="93">
                  <c:v>26512</c:v>
                </c:pt>
                <c:pt idx="94">
                  <c:v>26543</c:v>
                </c:pt>
                <c:pt idx="95">
                  <c:v>26573</c:v>
                </c:pt>
                <c:pt idx="96">
                  <c:v>26604</c:v>
                </c:pt>
                <c:pt idx="97">
                  <c:v>26634</c:v>
                </c:pt>
                <c:pt idx="98">
                  <c:v>26665</c:v>
                </c:pt>
                <c:pt idx="99">
                  <c:v>26696</c:v>
                </c:pt>
                <c:pt idx="100">
                  <c:v>26724</c:v>
                </c:pt>
                <c:pt idx="101">
                  <c:v>26755</c:v>
                </c:pt>
                <c:pt idx="102">
                  <c:v>26785</c:v>
                </c:pt>
                <c:pt idx="103">
                  <c:v>26816</c:v>
                </c:pt>
                <c:pt idx="104">
                  <c:v>26846</c:v>
                </c:pt>
                <c:pt idx="105">
                  <c:v>26877</c:v>
                </c:pt>
                <c:pt idx="106">
                  <c:v>26908</c:v>
                </c:pt>
                <c:pt idx="107">
                  <c:v>26938</c:v>
                </c:pt>
                <c:pt idx="108">
                  <c:v>26969</c:v>
                </c:pt>
                <c:pt idx="109">
                  <c:v>26999</c:v>
                </c:pt>
                <c:pt idx="110">
                  <c:v>27030</c:v>
                </c:pt>
                <c:pt idx="111">
                  <c:v>27061</c:v>
                </c:pt>
                <c:pt idx="112">
                  <c:v>27089</c:v>
                </c:pt>
                <c:pt idx="113">
                  <c:v>27120</c:v>
                </c:pt>
                <c:pt idx="114">
                  <c:v>27150</c:v>
                </c:pt>
                <c:pt idx="115">
                  <c:v>27181</c:v>
                </c:pt>
                <c:pt idx="116">
                  <c:v>27211</c:v>
                </c:pt>
                <c:pt idx="117">
                  <c:v>27242</c:v>
                </c:pt>
                <c:pt idx="118">
                  <c:v>27273</c:v>
                </c:pt>
                <c:pt idx="119">
                  <c:v>27303</c:v>
                </c:pt>
                <c:pt idx="120">
                  <c:v>27334</c:v>
                </c:pt>
                <c:pt idx="121">
                  <c:v>27364</c:v>
                </c:pt>
                <c:pt idx="122">
                  <c:v>27395</c:v>
                </c:pt>
                <c:pt idx="123">
                  <c:v>27426</c:v>
                </c:pt>
                <c:pt idx="124">
                  <c:v>27454</c:v>
                </c:pt>
                <c:pt idx="125">
                  <c:v>27485</c:v>
                </c:pt>
                <c:pt idx="126">
                  <c:v>27515</c:v>
                </c:pt>
                <c:pt idx="127">
                  <c:v>27546</c:v>
                </c:pt>
                <c:pt idx="128">
                  <c:v>27576</c:v>
                </c:pt>
                <c:pt idx="129">
                  <c:v>27607</c:v>
                </c:pt>
                <c:pt idx="130">
                  <c:v>27638</c:v>
                </c:pt>
                <c:pt idx="131">
                  <c:v>27668</c:v>
                </c:pt>
                <c:pt idx="132">
                  <c:v>27699</c:v>
                </c:pt>
                <c:pt idx="133">
                  <c:v>27729</c:v>
                </c:pt>
                <c:pt idx="134">
                  <c:v>27760</c:v>
                </c:pt>
                <c:pt idx="135">
                  <c:v>27791</c:v>
                </c:pt>
                <c:pt idx="136">
                  <c:v>27820</c:v>
                </c:pt>
                <c:pt idx="137">
                  <c:v>27851</c:v>
                </c:pt>
                <c:pt idx="138">
                  <c:v>27881</c:v>
                </c:pt>
                <c:pt idx="139">
                  <c:v>27912</c:v>
                </c:pt>
                <c:pt idx="140">
                  <c:v>27942</c:v>
                </c:pt>
                <c:pt idx="141">
                  <c:v>27973</c:v>
                </c:pt>
                <c:pt idx="142">
                  <c:v>28004</c:v>
                </c:pt>
                <c:pt idx="143">
                  <c:v>28034</c:v>
                </c:pt>
                <c:pt idx="144">
                  <c:v>28065</c:v>
                </c:pt>
                <c:pt idx="145">
                  <c:v>28095</c:v>
                </c:pt>
                <c:pt idx="146">
                  <c:v>28126</c:v>
                </c:pt>
                <c:pt idx="147">
                  <c:v>28157</c:v>
                </c:pt>
                <c:pt idx="148">
                  <c:v>28185</c:v>
                </c:pt>
                <c:pt idx="149">
                  <c:v>28216</c:v>
                </c:pt>
                <c:pt idx="150">
                  <c:v>28246</c:v>
                </c:pt>
                <c:pt idx="151">
                  <c:v>28277</c:v>
                </c:pt>
                <c:pt idx="152">
                  <c:v>28307</c:v>
                </c:pt>
                <c:pt idx="153">
                  <c:v>28338</c:v>
                </c:pt>
                <c:pt idx="154">
                  <c:v>28369</c:v>
                </c:pt>
                <c:pt idx="155">
                  <c:v>28399</c:v>
                </c:pt>
                <c:pt idx="156">
                  <c:v>28430</c:v>
                </c:pt>
                <c:pt idx="157">
                  <c:v>28460</c:v>
                </c:pt>
                <c:pt idx="158">
                  <c:v>28491</c:v>
                </c:pt>
                <c:pt idx="159">
                  <c:v>28522</c:v>
                </c:pt>
                <c:pt idx="160">
                  <c:v>28550</c:v>
                </c:pt>
                <c:pt idx="161">
                  <c:v>28581</c:v>
                </c:pt>
                <c:pt idx="162">
                  <c:v>28611</c:v>
                </c:pt>
                <c:pt idx="163">
                  <c:v>28642</c:v>
                </c:pt>
                <c:pt idx="164">
                  <c:v>28672</c:v>
                </c:pt>
                <c:pt idx="165">
                  <c:v>28703</c:v>
                </c:pt>
                <c:pt idx="166">
                  <c:v>28734</c:v>
                </c:pt>
                <c:pt idx="167">
                  <c:v>28764</c:v>
                </c:pt>
                <c:pt idx="168">
                  <c:v>28795</c:v>
                </c:pt>
                <c:pt idx="169">
                  <c:v>28825</c:v>
                </c:pt>
                <c:pt idx="170">
                  <c:v>28856</c:v>
                </c:pt>
                <c:pt idx="171">
                  <c:v>28887</c:v>
                </c:pt>
                <c:pt idx="172">
                  <c:v>28915</c:v>
                </c:pt>
                <c:pt idx="173">
                  <c:v>28946</c:v>
                </c:pt>
                <c:pt idx="174">
                  <c:v>28976</c:v>
                </c:pt>
                <c:pt idx="175">
                  <c:v>29007</c:v>
                </c:pt>
                <c:pt idx="176">
                  <c:v>29037</c:v>
                </c:pt>
                <c:pt idx="177">
                  <c:v>29068</c:v>
                </c:pt>
                <c:pt idx="178">
                  <c:v>29099</c:v>
                </c:pt>
                <c:pt idx="179">
                  <c:v>29129</c:v>
                </c:pt>
                <c:pt idx="180">
                  <c:v>29160</c:v>
                </c:pt>
                <c:pt idx="181">
                  <c:v>29190</c:v>
                </c:pt>
                <c:pt idx="182">
                  <c:v>29221</c:v>
                </c:pt>
                <c:pt idx="183">
                  <c:v>29252</c:v>
                </c:pt>
                <c:pt idx="184">
                  <c:v>29281</c:v>
                </c:pt>
                <c:pt idx="185">
                  <c:v>29312</c:v>
                </c:pt>
                <c:pt idx="186">
                  <c:v>29342</c:v>
                </c:pt>
                <c:pt idx="187">
                  <c:v>29373</c:v>
                </c:pt>
                <c:pt idx="188">
                  <c:v>29403</c:v>
                </c:pt>
                <c:pt idx="189">
                  <c:v>29434</c:v>
                </c:pt>
                <c:pt idx="190">
                  <c:v>29465</c:v>
                </c:pt>
                <c:pt idx="191">
                  <c:v>29495</c:v>
                </c:pt>
                <c:pt idx="192">
                  <c:v>29526</c:v>
                </c:pt>
                <c:pt idx="193">
                  <c:v>29556</c:v>
                </c:pt>
                <c:pt idx="194">
                  <c:v>29587</c:v>
                </c:pt>
                <c:pt idx="195">
                  <c:v>29618</c:v>
                </c:pt>
                <c:pt idx="196">
                  <c:v>29646</c:v>
                </c:pt>
                <c:pt idx="197">
                  <c:v>29677</c:v>
                </c:pt>
                <c:pt idx="198">
                  <c:v>29707</c:v>
                </c:pt>
                <c:pt idx="199">
                  <c:v>29738</c:v>
                </c:pt>
                <c:pt idx="200">
                  <c:v>29768</c:v>
                </c:pt>
                <c:pt idx="201">
                  <c:v>29799</c:v>
                </c:pt>
                <c:pt idx="202">
                  <c:v>29830</c:v>
                </c:pt>
                <c:pt idx="203">
                  <c:v>29860</c:v>
                </c:pt>
                <c:pt idx="204">
                  <c:v>29891</c:v>
                </c:pt>
                <c:pt idx="205">
                  <c:v>29921</c:v>
                </c:pt>
                <c:pt idx="206">
                  <c:v>29952</c:v>
                </c:pt>
                <c:pt idx="207">
                  <c:v>29983</c:v>
                </c:pt>
                <c:pt idx="208">
                  <c:v>30011</c:v>
                </c:pt>
                <c:pt idx="209">
                  <c:v>30042</c:v>
                </c:pt>
                <c:pt idx="210">
                  <c:v>30072</c:v>
                </c:pt>
                <c:pt idx="211">
                  <c:v>30103</c:v>
                </c:pt>
                <c:pt idx="212">
                  <c:v>30133</c:v>
                </c:pt>
                <c:pt idx="213">
                  <c:v>30164</c:v>
                </c:pt>
                <c:pt idx="214">
                  <c:v>30195</c:v>
                </c:pt>
                <c:pt idx="215">
                  <c:v>30225</c:v>
                </c:pt>
                <c:pt idx="216">
                  <c:v>30256</c:v>
                </c:pt>
                <c:pt idx="217">
                  <c:v>30286</c:v>
                </c:pt>
                <c:pt idx="218">
                  <c:v>30317</c:v>
                </c:pt>
                <c:pt idx="219">
                  <c:v>30348</c:v>
                </c:pt>
                <c:pt idx="220">
                  <c:v>30376</c:v>
                </c:pt>
                <c:pt idx="221">
                  <c:v>30407</c:v>
                </c:pt>
                <c:pt idx="222">
                  <c:v>30437</c:v>
                </c:pt>
                <c:pt idx="223">
                  <c:v>30468</c:v>
                </c:pt>
                <c:pt idx="224">
                  <c:v>30498</c:v>
                </c:pt>
                <c:pt idx="225">
                  <c:v>30529</c:v>
                </c:pt>
                <c:pt idx="226">
                  <c:v>30560</c:v>
                </c:pt>
                <c:pt idx="227">
                  <c:v>30590</c:v>
                </c:pt>
                <c:pt idx="228">
                  <c:v>30621</c:v>
                </c:pt>
                <c:pt idx="229">
                  <c:v>30651</c:v>
                </c:pt>
                <c:pt idx="230">
                  <c:v>30682</c:v>
                </c:pt>
                <c:pt idx="231">
                  <c:v>30713</c:v>
                </c:pt>
                <c:pt idx="232">
                  <c:v>30742</c:v>
                </c:pt>
                <c:pt idx="233">
                  <c:v>30773</c:v>
                </c:pt>
                <c:pt idx="234">
                  <c:v>30803</c:v>
                </c:pt>
                <c:pt idx="235">
                  <c:v>30834</c:v>
                </c:pt>
                <c:pt idx="236">
                  <c:v>30864</c:v>
                </c:pt>
                <c:pt idx="237">
                  <c:v>30895</c:v>
                </c:pt>
                <c:pt idx="238">
                  <c:v>30926</c:v>
                </c:pt>
                <c:pt idx="239">
                  <c:v>30956</c:v>
                </c:pt>
                <c:pt idx="240">
                  <c:v>30987</c:v>
                </c:pt>
                <c:pt idx="241">
                  <c:v>31017</c:v>
                </c:pt>
                <c:pt idx="242">
                  <c:v>31048</c:v>
                </c:pt>
                <c:pt idx="243">
                  <c:v>31079</c:v>
                </c:pt>
                <c:pt idx="244">
                  <c:v>31107</c:v>
                </c:pt>
                <c:pt idx="245">
                  <c:v>31138</c:v>
                </c:pt>
                <c:pt idx="246">
                  <c:v>31168</c:v>
                </c:pt>
                <c:pt idx="247">
                  <c:v>31199</c:v>
                </c:pt>
                <c:pt idx="248">
                  <c:v>31229</c:v>
                </c:pt>
                <c:pt idx="249">
                  <c:v>31260</c:v>
                </c:pt>
                <c:pt idx="250">
                  <c:v>31291</c:v>
                </c:pt>
                <c:pt idx="251">
                  <c:v>31321</c:v>
                </c:pt>
                <c:pt idx="252">
                  <c:v>31352</c:v>
                </c:pt>
                <c:pt idx="253">
                  <c:v>31382</c:v>
                </c:pt>
                <c:pt idx="254">
                  <c:v>31413</c:v>
                </c:pt>
                <c:pt idx="255">
                  <c:v>31444</c:v>
                </c:pt>
                <c:pt idx="256">
                  <c:v>31472</c:v>
                </c:pt>
                <c:pt idx="257">
                  <c:v>31503</c:v>
                </c:pt>
                <c:pt idx="258">
                  <c:v>31533</c:v>
                </c:pt>
                <c:pt idx="259">
                  <c:v>31564</c:v>
                </c:pt>
                <c:pt idx="260">
                  <c:v>31594</c:v>
                </c:pt>
                <c:pt idx="261">
                  <c:v>31625</c:v>
                </c:pt>
                <c:pt idx="262">
                  <c:v>31656</c:v>
                </c:pt>
                <c:pt idx="263">
                  <c:v>31686</c:v>
                </c:pt>
                <c:pt idx="264">
                  <c:v>31717</c:v>
                </c:pt>
                <c:pt idx="265">
                  <c:v>31747</c:v>
                </c:pt>
                <c:pt idx="266">
                  <c:v>31778</c:v>
                </c:pt>
                <c:pt idx="267">
                  <c:v>31809</c:v>
                </c:pt>
                <c:pt idx="268">
                  <c:v>31837</c:v>
                </c:pt>
                <c:pt idx="269">
                  <c:v>31868</c:v>
                </c:pt>
                <c:pt idx="270">
                  <c:v>31898</c:v>
                </c:pt>
                <c:pt idx="271">
                  <c:v>31929</c:v>
                </c:pt>
                <c:pt idx="272">
                  <c:v>31959</c:v>
                </c:pt>
                <c:pt idx="273">
                  <c:v>31990</c:v>
                </c:pt>
                <c:pt idx="274">
                  <c:v>32021</c:v>
                </c:pt>
                <c:pt idx="275">
                  <c:v>32051</c:v>
                </c:pt>
                <c:pt idx="276">
                  <c:v>32082</c:v>
                </c:pt>
                <c:pt idx="277">
                  <c:v>32112</c:v>
                </c:pt>
                <c:pt idx="278">
                  <c:v>32143</c:v>
                </c:pt>
                <c:pt idx="279">
                  <c:v>32174</c:v>
                </c:pt>
                <c:pt idx="280">
                  <c:v>32203</c:v>
                </c:pt>
                <c:pt idx="281">
                  <c:v>32234</c:v>
                </c:pt>
                <c:pt idx="282">
                  <c:v>32264</c:v>
                </c:pt>
                <c:pt idx="283">
                  <c:v>32295</c:v>
                </c:pt>
                <c:pt idx="284">
                  <c:v>32325</c:v>
                </c:pt>
                <c:pt idx="285">
                  <c:v>32356</c:v>
                </c:pt>
                <c:pt idx="286">
                  <c:v>32387</c:v>
                </c:pt>
                <c:pt idx="287">
                  <c:v>32417</c:v>
                </c:pt>
                <c:pt idx="288">
                  <c:v>32448</c:v>
                </c:pt>
                <c:pt idx="289">
                  <c:v>32478</c:v>
                </c:pt>
                <c:pt idx="290">
                  <c:v>32509</c:v>
                </c:pt>
                <c:pt idx="291">
                  <c:v>32540</c:v>
                </c:pt>
                <c:pt idx="292">
                  <c:v>32568</c:v>
                </c:pt>
                <c:pt idx="293">
                  <c:v>32599</c:v>
                </c:pt>
                <c:pt idx="294">
                  <c:v>32629</c:v>
                </c:pt>
                <c:pt idx="295">
                  <c:v>32660</c:v>
                </c:pt>
                <c:pt idx="296">
                  <c:v>32690</c:v>
                </c:pt>
                <c:pt idx="297">
                  <c:v>32721</c:v>
                </c:pt>
                <c:pt idx="298">
                  <c:v>32752</c:v>
                </c:pt>
                <c:pt idx="299">
                  <c:v>32782</c:v>
                </c:pt>
                <c:pt idx="300">
                  <c:v>32813</c:v>
                </c:pt>
                <c:pt idx="301">
                  <c:v>32843</c:v>
                </c:pt>
                <c:pt idx="302">
                  <c:v>32874</c:v>
                </c:pt>
                <c:pt idx="303">
                  <c:v>32905</c:v>
                </c:pt>
                <c:pt idx="304">
                  <c:v>32933</c:v>
                </c:pt>
                <c:pt idx="305">
                  <c:v>32964</c:v>
                </c:pt>
                <c:pt idx="306">
                  <c:v>32994</c:v>
                </c:pt>
                <c:pt idx="307">
                  <c:v>33025</c:v>
                </c:pt>
                <c:pt idx="308">
                  <c:v>33055</c:v>
                </c:pt>
                <c:pt idx="309">
                  <c:v>33086</c:v>
                </c:pt>
                <c:pt idx="310">
                  <c:v>33117</c:v>
                </c:pt>
                <c:pt idx="311">
                  <c:v>33147</c:v>
                </c:pt>
                <c:pt idx="312">
                  <c:v>33178</c:v>
                </c:pt>
                <c:pt idx="313">
                  <c:v>33208</c:v>
                </c:pt>
                <c:pt idx="314">
                  <c:v>33239</c:v>
                </c:pt>
                <c:pt idx="315">
                  <c:v>33270</c:v>
                </c:pt>
                <c:pt idx="316">
                  <c:v>33298</c:v>
                </c:pt>
                <c:pt idx="317">
                  <c:v>33329</c:v>
                </c:pt>
                <c:pt idx="318">
                  <c:v>33359</c:v>
                </c:pt>
                <c:pt idx="319">
                  <c:v>33390</c:v>
                </c:pt>
                <c:pt idx="320">
                  <c:v>33420</c:v>
                </c:pt>
                <c:pt idx="321">
                  <c:v>33451</c:v>
                </c:pt>
                <c:pt idx="322">
                  <c:v>33482</c:v>
                </c:pt>
                <c:pt idx="323">
                  <c:v>33512</c:v>
                </c:pt>
                <c:pt idx="324">
                  <c:v>33543</c:v>
                </c:pt>
                <c:pt idx="325">
                  <c:v>33573</c:v>
                </c:pt>
                <c:pt idx="326">
                  <c:v>33604</c:v>
                </c:pt>
                <c:pt idx="327">
                  <c:v>33635</c:v>
                </c:pt>
                <c:pt idx="328">
                  <c:v>33664</c:v>
                </c:pt>
                <c:pt idx="329">
                  <c:v>33695</c:v>
                </c:pt>
                <c:pt idx="330">
                  <c:v>33725</c:v>
                </c:pt>
                <c:pt idx="331">
                  <c:v>33756</c:v>
                </c:pt>
                <c:pt idx="332">
                  <c:v>33786</c:v>
                </c:pt>
                <c:pt idx="333">
                  <c:v>33817</c:v>
                </c:pt>
                <c:pt idx="334">
                  <c:v>33848</c:v>
                </c:pt>
                <c:pt idx="335">
                  <c:v>33878</c:v>
                </c:pt>
                <c:pt idx="336">
                  <c:v>33909</c:v>
                </c:pt>
                <c:pt idx="337">
                  <c:v>33939</c:v>
                </c:pt>
                <c:pt idx="338">
                  <c:v>33970</c:v>
                </c:pt>
                <c:pt idx="339">
                  <c:v>34001</c:v>
                </c:pt>
                <c:pt idx="340">
                  <c:v>34029</c:v>
                </c:pt>
                <c:pt idx="341">
                  <c:v>34060</c:v>
                </c:pt>
                <c:pt idx="342">
                  <c:v>34090</c:v>
                </c:pt>
                <c:pt idx="343">
                  <c:v>34121</c:v>
                </c:pt>
                <c:pt idx="344">
                  <c:v>34151</c:v>
                </c:pt>
                <c:pt idx="345">
                  <c:v>34182</c:v>
                </c:pt>
                <c:pt idx="346">
                  <c:v>34213</c:v>
                </c:pt>
                <c:pt idx="347">
                  <c:v>34243</c:v>
                </c:pt>
                <c:pt idx="348">
                  <c:v>34274</c:v>
                </c:pt>
                <c:pt idx="349">
                  <c:v>34304</c:v>
                </c:pt>
                <c:pt idx="350">
                  <c:v>34335</c:v>
                </c:pt>
                <c:pt idx="351">
                  <c:v>34366</c:v>
                </c:pt>
                <c:pt idx="352">
                  <c:v>34394</c:v>
                </c:pt>
                <c:pt idx="353">
                  <c:v>34425</c:v>
                </c:pt>
                <c:pt idx="354">
                  <c:v>34455</c:v>
                </c:pt>
                <c:pt idx="355">
                  <c:v>34486</c:v>
                </c:pt>
                <c:pt idx="356">
                  <c:v>34516</c:v>
                </c:pt>
                <c:pt idx="357">
                  <c:v>34547</c:v>
                </c:pt>
                <c:pt idx="358">
                  <c:v>34578</c:v>
                </c:pt>
                <c:pt idx="359">
                  <c:v>34608</c:v>
                </c:pt>
                <c:pt idx="360">
                  <c:v>34639</c:v>
                </c:pt>
                <c:pt idx="361">
                  <c:v>34669</c:v>
                </c:pt>
                <c:pt idx="362">
                  <c:v>34700</c:v>
                </c:pt>
                <c:pt idx="363">
                  <c:v>34731</c:v>
                </c:pt>
                <c:pt idx="364">
                  <c:v>34759</c:v>
                </c:pt>
                <c:pt idx="365">
                  <c:v>34790</c:v>
                </c:pt>
                <c:pt idx="366">
                  <c:v>34820</c:v>
                </c:pt>
                <c:pt idx="367">
                  <c:v>34851</c:v>
                </c:pt>
                <c:pt idx="368">
                  <c:v>34881</c:v>
                </c:pt>
                <c:pt idx="369">
                  <c:v>34912</c:v>
                </c:pt>
                <c:pt idx="370">
                  <c:v>34943</c:v>
                </c:pt>
                <c:pt idx="371">
                  <c:v>34973</c:v>
                </c:pt>
                <c:pt idx="372">
                  <c:v>35004</c:v>
                </c:pt>
                <c:pt idx="373">
                  <c:v>35034</c:v>
                </c:pt>
                <c:pt idx="374">
                  <c:v>35065</c:v>
                </c:pt>
                <c:pt idx="375">
                  <c:v>35096</c:v>
                </c:pt>
                <c:pt idx="376">
                  <c:v>35125</c:v>
                </c:pt>
                <c:pt idx="377">
                  <c:v>35156</c:v>
                </c:pt>
                <c:pt idx="378">
                  <c:v>35186</c:v>
                </c:pt>
                <c:pt idx="379">
                  <c:v>35217</c:v>
                </c:pt>
                <c:pt idx="380">
                  <c:v>35247</c:v>
                </c:pt>
                <c:pt idx="381">
                  <c:v>35278</c:v>
                </c:pt>
                <c:pt idx="382">
                  <c:v>35309</c:v>
                </c:pt>
                <c:pt idx="383">
                  <c:v>35339</c:v>
                </c:pt>
                <c:pt idx="384">
                  <c:v>35370</c:v>
                </c:pt>
                <c:pt idx="385">
                  <c:v>35400</c:v>
                </c:pt>
                <c:pt idx="386">
                  <c:v>35431</c:v>
                </c:pt>
                <c:pt idx="387">
                  <c:v>35462</c:v>
                </c:pt>
                <c:pt idx="388">
                  <c:v>35490</c:v>
                </c:pt>
                <c:pt idx="389">
                  <c:v>35521</c:v>
                </c:pt>
                <c:pt idx="390">
                  <c:v>35551</c:v>
                </c:pt>
                <c:pt idx="391">
                  <c:v>35582</c:v>
                </c:pt>
                <c:pt idx="392">
                  <c:v>35612</c:v>
                </c:pt>
                <c:pt idx="393">
                  <c:v>35643</c:v>
                </c:pt>
                <c:pt idx="394">
                  <c:v>35674</c:v>
                </c:pt>
                <c:pt idx="395">
                  <c:v>35704</c:v>
                </c:pt>
                <c:pt idx="396">
                  <c:v>35735</c:v>
                </c:pt>
                <c:pt idx="397">
                  <c:v>35765</c:v>
                </c:pt>
                <c:pt idx="398">
                  <c:v>35796</c:v>
                </c:pt>
                <c:pt idx="399">
                  <c:v>35827</c:v>
                </c:pt>
                <c:pt idx="400">
                  <c:v>35855</c:v>
                </c:pt>
                <c:pt idx="401">
                  <c:v>35886</c:v>
                </c:pt>
                <c:pt idx="402">
                  <c:v>35916</c:v>
                </c:pt>
                <c:pt idx="403">
                  <c:v>35947</c:v>
                </c:pt>
                <c:pt idx="404">
                  <c:v>35977</c:v>
                </c:pt>
                <c:pt idx="405">
                  <c:v>36008</c:v>
                </c:pt>
                <c:pt idx="406">
                  <c:v>36039</c:v>
                </c:pt>
                <c:pt idx="407">
                  <c:v>36069</c:v>
                </c:pt>
                <c:pt idx="408">
                  <c:v>36100</c:v>
                </c:pt>
                <c:pt idx="409">
                  <c:v>36130</c:v>
                </c:pt>
                <c:pt idx="410">
                  <c:v>36161</c:v>
                </c:pt>
                <c:pt idx="411">
                  <c:v>36192</c:v>
                </c:pt>
                <c:pt idx="412">
                  <c:v>36220</c:v>
                </c:pt>
                <c:pt idx="413">
                  <c:v>36251</c:v>
                </c:pt>
                <c:pt idx="414">
                  <c:v>36281</c:v>
                </c:pt>
                <c:pt idx="415">
                  <c:v>36312</c:v>
                </c:pt>
                <c:pt idx="416">
                  <c:v>36342</c:v>
                </c:pt>
                <c:pt idx="417">
                  <c:v>36373</c:v>
                </c:pt>
                <c:pt idx="418">
                  <c:v>36404</c:v>
                </c:pt>
                <c:pt idx="419">
                  <c:v>36434</c:v>
                </c:pt>
                <c:pt idx="420">
                  <c:v>36465</c:v>
                </c:pt>
                <c:pt idx="421">
                  <c:v>36495</c:v>
                </c:pt>
                <c:pt idx="422">
                  <c:v>36526</c:v>
                </c:pt>
                <c:pt idx="423">
                  <c:v>36557</c:v>
                </c:pt>
                <c:pt idx="424">
                  <c:v>36586</c:v>
                </c:pt>
                <c:pt idx="425">
                  <c:v>36617</c:v>
                </c:pt>
                <c:pt idx="426">
                  <c:v>36647</c:v>
                </c:pt>
                <c:pt idx="427">
                  <c:v>36678</c:v>
                </c:pt>
                <c:pt idx="428">
                  <c:v>36708</c:v>
                </c:pt>
                <c:pt idx="429">
                  <c:v>36739</c:v>
                </c:pt>
                <c:pt idx="430">
                  <c:v>36770</c:v>
                </c:pt>
                <c:pt idx="431">
                  <c:v>36800</c:v>
                </c:pt>
                <c:pt idx="432">
                  <c:v>36831</c:v>
                </c:pt>
                <c:pt idx="433">
                  <c:v>36861</c:v>
                </c:pt>
                <c:pt idx="434">
                  <c:v>36892</c:v>
                </c:pt>
                <c:pt idx="435">
                  <c:v>36923</c:v>
                </c:pt>
                <c:pt idx="436">
                  <c:v>36951</c:v>
                </c:pt>
                <c:pt idx="437">
                  <c:v>36982</c:v>
                </c:pt>
                <c:pt idx="438">
                  <c:v>37012</c:v>
                </c:pt>
                <c:pt idx="439">
                  <c:v>37043</c:v>
                </c:pt>
                <c:pt idx="440">
                  <c:v>37073</c:v>
                </c:pt>
                <c:pt idx="441">
                  <c:v>37104</c:v>
                </c:pt>
                <c:pt idx="442">
                  <c:v>37135</c:v>
                </c:pt>
                <c:pt idx="443">
                  <c:v>37165</c:v>
                </c:pt>
                <c:pt idx="444">
                  <c:v>37196</c:v>
                </c:pt>
                <c:pt idx="445">
                  <c:v>37226</c:v>
                </c:pt>
                <c:pt idx="446">
                  <c:v>37257</c:v>
                </c:pt>
                <c:pt idx="447">
                  <c:v>37288</c:v>
                </c:pt>
                <c:pt idx="448">
                  <c:v>37316</c:v>
                </c:pt>
                <c:pt idx="449">
                  <c:v>37347</c:v>
                </c:pt>
                <c:pt idx="450">
                  <c:v>37377</c:v>
                </c:pt>
                <c:pt idx="451">
                  <c:v>37408</c:v>
                </c:pt>
                <c:pt idx="452">
                  <c:v>37438</c:v>
                </c:pt>
                <c:pt idx="453">
                  <c:v>37469</c:v>
                </c:pt>
                <c:pt idx="454">
                  <c:v>37500</c:v>
                </c:pt>
                <c:pt idx="455">
                  <c:v>37530</c:v>
                </c:pt>
                <c:pt idx="456">
                  <c:v>37561</c:v>
                </c:pt>
                <c:pt idx="457">
                  <c:v>37591</c:v>
                </c:pt>
                <c:pt idx="458">
                  <c:v>37622</c:v>
                </c:pt>
                <c:pt idx="459">
                  <c:v>37653</c:v>
                </c:pt>
                <c:pt idx="460">
                  <c:v>37681</c:v>
                </c:pt>
                <c:pt idx="461">
                  <c:v>37712</c:v>
                </c:pt>
                <c:pt idx="462">
                  <c:v>37742</c:v>
                </c:pt>
                <c:pt idx="463">
                  <c:v>37773</c:v>
                </c:pt>
                <c:pt idx="464">
                  <c:v>37803</c:v>
                </c:pt>
                <c:pt idx="465">
                  <c:v>37834</c:v>
                </c:pt>
                <c:pt idx="466">
                  <c:v>37865</c:v>
                </c:pt>
                <c:pt idx="467">
                  <c:v>37895</c:v>
                </c:pt>
                <c:pt idx="468">
                  <c:v>37926</c:v>
                </c:pt>
                <c:pt idx="469">
                  <c:v>37956</c:v>
                </c:pt>
                <c:pt idx="470">
                  <c:v>37987</c:v>
                </c:pt>
                <c:pt idx="471">
                  <c:v>38018</c:v>
                </c:pt>
                <c:pt idx="472">
                  <c:v>38047</c:v>
                </c:pt>
                <c:pt idx="473">
                  <c:v>38078</c:v>
                </c:pt>
                <c:pt idx="474">
                  <c:v>38108</c:v>
                </c:pt>
                <c:pt idx="475">
                  <c:v>38139</c:v>
                </c:pt>
                <c:pt idx="476">
                  <c:v>38169</c:v>
                </c:pt>
                <c:pt idx="477">
                  <c:v>38200</c:v>
                </c:pt>
                <c:pt idx="478">
                  <c:v>38231</c:v>
                </c:pt>
                <c:pt idx="479">
                  <c:v>38261</c:v>
                </c:pt>
                <c:pt idx="480">
                  <c:v>38292</c:v>
                </c:pt>
                <c:pt idx="481">
                  <c:v>38322</c:v>
                </c:pt>
                <c:pt idx="482">
                  <c:v>38353</c:v>
                </c:pt>
                <c:pt idx="483">
                  <c:v>38384</c:v>
                </c:pt>
                <c:pt idx="484">
                  <c:v>38412</c:v>
                </c:pt>
                <c:pt idx="485">
                  <c:v>38443</c:v>
                </c:pt>
                <c:pt idx="486">
                  <c:v>38473</c:v>
                </c:pt>
                <c:pt idx="487">
                  <c:v>38504</c:v>
                </c:pt>
                <c:pt idx="488">
                  <c:v>38534</c:v>
                </c:pt>
                <c:pt idx="489">
                  <c:v>38565</c:v>
                </c:pt>
                <c:pt idx="490">
                  <c:v>38596</c:v>
                </c:pt>
                <c:pt idx="491">
                  <c:v>38626</c:v>
                </c:pt>
                <c:pt idx="492">
                  <c:v>38657</c:v>
                </c:pt>
                <c:pt idx="493">
                  <c:v>38687</c:v>
                </c:pt>
                <c:pt idx="494">
                  <c:v>38718</c:v>
                </c:pt>
                <c:pt idx="495">
                  <c:v>38749</c:v>
                </c:pt>
                <c:pt idx="496">
                  <c:v>38777</c:v>
                </c:pt>
                <c:pt idx="497">
                  <c:v>38808</c:v>
                </c:pt>
                <c:pt idx="498">
                  <c:v>38838</c:v>
                </c:pt>
                <c:pt idx="499">
                  <c:v>38869</c:v>
                </c:pt>
                <c:pt idx="500">
                  <c:v>38899</c:v>
                </c:pt>
                <c:pt idx="501">
                  <c:v>38930</c:v>
                </c:pt>
                <c:pt idx="502">
                  <c:v>38961</c:v>
                </c:pt>
                <c:pt idx="503">
                  <c:v>38991</c:v>
                </c:pt>
                <c:pt idx="504">
                  <c:v>39022</c:v>
                </c:pt>
                <c:pt idx="505">
                  <c:v>39052</c:v>
                </c:pt>
                <c:pt idx="506">
                  <c:v>39083</c:v>
                </c:pt>
                <c:pt idx="507">
                  <c:v>39114</c:v>
                </c:pt>
                <c:pt idx="508">
                  <c:v>39142</c:v>
                </c:pt>
                <c:pt idx="509">
                  <c:v>39173</c:v>
                </c:pt>
                <c:pt idx="510">
                  <c:v>39203</c:v>
                </c:pt>
                <c:pt idx="511">
                  <c:v>39234</c:v>
                </c:pt>
                <c:pt idx="512">
                  <c:v>39264</c:v>
                </c:pt>
                <c:pt idx="513">
                  <c:v>39295</c:v>
                </c:pt>
                <c:pt idx="514">
                  <c:v>39326</c:v>
                </c:pt>
                <c:pt idx="515">
                  <c:v>39356</c:v>
                </c:pt>
                <c:pt idx="516">
                  <c:v>39387</c:v>
                </c:pt>
                <c:pt idx="517">
                  <c:v>39417</c:v>
                </c:pt>
                <c:pt idx="518">
                  <c:v>39448</c:v>
                </c:pt>
                <c:pt idx="519">
                  <c:v>39479</c:v>
                </c:pt>
                <c:pt idx="520">
                  <c:v>39508</c:v>
                </c:pt>
                <c:pt idx="521">
                  <c:v>39539</c:v>
                </c:pt>
                <c:pt idx="522">
                  <c:v>39569</c:v>
                </c:pt>
                <c:pt idx="523">
                  <c:v>39600</c:v>
                </c:pt>
                <c:pt idx="524">
                  <c:v>39630</c:v>
                </c:pt>
                <c:pt idx="525">
                  <c:v>39661</c:v>
                </c:pt>
                <c:pt idx="526">
                  <c:v>39692</c:v>
                </c:pt>
                <c:pt idx="527">
                  <c:v>39722</c:v>
                </c:pt>
                <c:pt idx="528">
                  <c:v>39753</c:v>
                </c:pt>
                <c:pt idx="529">
                  <c:v>39783</c:v>
                </c:pt>
                <c:pt idx="530">
                  <c:v>39814</c:v>
                </c:pt>
                <c:pt idx="531">
                  <c:v>39845</c:v>
                </c:pt>
                <c:pt idx="532">
                  <c:v>39873</c:v>
                </c:pt>
                <c:pt idx="533">
                  <c:v>39904</c:v>
                </c:pt>
                <c:pt idx="534">
                  <c:v>39934</c:v>
                </c:pt>
                <c:pt idx="535">
                  <c:v>39965</c:v>
                </c:pt>
                <c:pt idx="536">
                  <c:v>39995</c:v>
                </c:pt>
                <c:pt idx="537">
                  <c:v>40026</c:v>
                </c:pt>
                <c:pt idx="538">
                  <c:v>40057</c:v>
                </c:pt>
                <c:pt idx="539">
                  <c:v>40087</c:v>
                </c:pt>
                <c:pt idx="540">
                  <c:v>40118</c:v>
                </c:pt>
                <c:pt idx="541">
                  <c:v>40148</c:v>
                </c:pt>
                <c:pt idx="542">
                  <c:v>40179</c:v>
                </c:pt>
                <c:pt idx="543">
                  <c:v>40210</c:v>
                </c:pt>
                <c:pt idx="544">
                  <c:v>40238</c:v>
                </c:pt>
                <c:pt idx="545">
                  <c:v>40269</c:v>
                </c:pt>
                <c:pt idx="546">
                  <c:v>40299</c:v>
                </c:pt>
                <c:pt idx="547">
                  <c:v>40330</c:v>
                </c:pt>
                <c:pt idx="548">
                  <c:v>40360</c:v>
                </c:pt>
                <c:pt idx="549">
                  <c:v>40391</c:v>
                </c:pt>
                <c:pt idx="550">
                  <c:v>40422</c:v>
                </c:pt>
                <c:pt idx="551">
                  <c:v>40452</c:v>
                </c:pt>
                <c:pt idx="552">
                  <c:v>40483</c:v>
                </c:pt>
                <c:pt idx="553">
                  <c:v>40513</c:v>
                </c:pt>
                <c:pt idx="554">
                  <c:v>40544</c:v>
                </c:pt>
                <c:pt idx="555">
                  <c:v>40575</c:v>
                </c:pt>
                <c:pt idx="556">
                  <c:v>40603</c:v>
                </c:pt>
                <c:pt idx="557">
                  <c:v>40634</c:v>
                </c:pt>
                <c:pt idx="558">
                  <c:v>40664</c:v>
                </c:pt>
                <c:pt idx="559">
                  <c:v>40695</c:v>
                </c:pt>
                <c:pt idx="560">
                  <c:v>40725</c:v>
                </c:pt>
                <c:pt idx="561">
                  <c:v>40756</c:v>
                </c:pt>
                <c:pt idx="562">
                  <c:v>40787</c:v>
                </c:pt>
                <c:pt idx="563">
                  <c:v>40817</c:v>
                </c:pt>
                <c:pt idx="564">
                  <c:v>40848</c:v>
                </c:pt>
                <c:pt idx="565">
                  <c:v>40878</c:v>
                </c:pt>
                <c:pt idx="566">
                  <c:v>40909</c:v>
                </c:pt>
                <c:pt idx="567">
                  <c:v>40940</c:v>
                </c:pt>
                <c:pt idx="568">
                  <c:v>40969</c:v>
                </c:pt>
                <c:pt idx="569">
                  <c:v>41000</c:v>
                </c:pt>
                <c:pt idx="570">
                  <c:v>41030</c:v>
                </c:pt>
                <c:pt idx="571">
                  <c:v>41061</c:v>
                </c:pt>
                <c:pt idx="572">
                  <c:v>41091</c:v>
                </c:pt>
                <c:pt idx="573">
                  <c:v>41122</c:v>
                </c:pt>
                <c:pt idx="574">
                  <c:v>41153</c:v>
                </c:pt>
                <c:pt idx="575">
                  <c:v>41183</c:v>
                </c:pt>
                <c:pt idx="576">
                  <c:v>41214</c:v>
                </c:pt>
                <c:pt idx="577">
                  <c:v>41244</c:v>
                </c:pt>
                <c:pt idx="578">
                  <c:v>41275</c:v>
                </c:pt>
                <c:pt idx="579">
                  <c:v>41306</c:v>
                </c:pt>
                <c:pt idx="580">
                  <c:v>41334</c:v>
                </c:pt>
                <c:pt idx="581">
                  <c:v>41365</c:v>
                </c:pt>
                <c:pt idx="582">
                  <c:v>41395</c:v>
                </c:pt>
                <c:pt idx="583">
                  <c:v>41426</c:v>
                </c:pt>
                <c:pt idx="584">
                  <c:v>41456</c:v>
                </c:pt>
                <c:pt idx="585">
                  <c:v>41487</c:v>
                </c:pt>
                <c:pt idx="586">
                  <c:v>41518</c:v>
                </c:pt>
                <c:pt idx="587">
                  <c:v>41548</c:v>
                </c:pt>
                <c:pt idx="588">
                  <c:v>41579</c:v>
                </c:pt>
                <c:pt idx="589">
                  <c:v>41609</c:v>
                </c:pt>
                <c:pt idx="590">
                  <c:v>41640</c:v>
                </c:pt>
                <c:pt idx="591">
                  <c:v>41671</c:v>
                </c:pt>
                <c:pt idx="592">
                  <c:v>41699</c:v>
                </c:pt>
                <c:pt idx="593">
                  <c:v>41730</c:v>
                </c:pt>
                <c:pt idx="594">
                  <c:v>41760</c:v>
                </c:pt>
                <c:pt idx="595">
                  <c:v>41791</c:v>
                </c:pt>
                <c:pt idx="596">
                  <c:v>41821</c:v>
                </c:pt>
                <c:pt idx="597">
                  <c:v>41852</c:v>
                </c:pt>
                <c:pt idx="598">
                  <c:v>41883</c:v>
                </c:pt>
                <c:pt idx="599">
                  <c:v>41913</c:v>
                </c:pt>
                <c:pt idx="600">
                  <c:v>41944</c:v>
                </c:pt>
                <c:pt idx="601">
                  <c:v>41974</c:v>
                </c:pt>
                <c:pt idx="602">
                  <c:v>42005</c:v>
                </c:pt>
                <c:pt idx="603">
                  <c:v>42036</c:v>
                </c:pt>
                <c:pt idx="604">
                  <c:v>42064</c:v>
                </c:pt>
                <c:pt idx="605">
                  <c:v>42095</c:v>
                </c:pt>
                <c:pt idx="606">
                  <c:v>42125</c:v>
                </c:pt>
                <c:pt idx="607">
                  <c:v>42156</c:v>
                </c:pt>
                <c:pt idx="608">
                  <c:v>42186</c:v>
                </c:pt>
                <c:pt idx="609">
                  <c:v>42217</c:v>
                </c:pt>
                <c:pt idx="610">
                  <c:v>42248</c:v>
                </c:pt>
                <c:pt idx="611">
                  <c:v>42278</c:v>
                </c:pt>
                <c:pt idx="612">
                  <c:v>42309</c:v>
                </c:pt>
                <c:pt idx="613">
                  <c:v>42339</c:v>
                </c:pt>
                <c:pt idx="614">
                  <c:v>42370</c:v>
                </c:pt>
                <c:pt idx="615">
                  <c:v>42401</c:v>
                </c:pt>
                <c:pt idx="616">
                  <c:v>42430</c:v>
                </c:pt>
                <c:pt idx="617">
                  <c:v>42461</c:v>
                </c:pt>
                <c:pt idx="618">
                  <c:v>42491</c:v>
                </c:pt>
                <c:pt idx="619">
                  <c:v>42522</c:v>
                </c:pt>
                <c:pt idx="620">
                  <c:v>42552</c:v>
                </c:pt>
                <c:pt idx="621">
                  <c:v>42583</c:v>
                </c:pt>
                <c:pt idx="622">
                  <c:v>42614</c:v>
                </c:pt>
                <c:pt idx="623">
                  <c:v>42644</c:v>
                </c:pt>
                <c:pt idx="624">
                  <c:v>42675</c:v>
                </c:pt>
                <c:pt idx="625">
                  <c:v>42705</c:v>
                </c:pt>
                <c:pt idx="626">
                  <c:v>42736</c:v>
                </c:pt>
                <c:pt idx="627">
                  <c:v>42767</c:v>
                </c:pt>
                <c:pt idx="628">
                  <c:v>42795</c:v>
                </c:pt>
                <c:pt idx="629">
                  <c:v>42826</c:v>
                </c:pt>
                <c:pt idx="630">
                  <c:v>42856</c:v>
                </c:pt>
                <c:pt idx="631">
                  <c:v>42887</c:v>
                </c:pt>
                <c:pt idx="632">
                  <c:v>42917</c:v>
                </c:pt>
                <c:pt idx="633">
                  <c:v>42948</c:v>
                </c:pt>
                <c:pt idx="634">
                  <c:v>42979</c:v>
                </c:pt>
                <c:pt idx="635">
                  <c:v>43009</c:v>
                </c:pt>
                <c:pt idx="636">
                  <c:v>43040</c:v>
                </c:pt>
                <c:pt idx="637">
                  <c:v>43070</c:v>
                </c:pt>
                <c:pt idx="638">
                  <c:v>43101</c:v>
                </c:pt>
                <c:pt idx="639">
                  <c:v>43132</c:v>
                </c:pt>
                <c:pt idx="640">
                  <c:v>43160</c:v>
                </c:pt>
                <c:pt idx="641">
                  <c:v>43191</c:v>
                </c:pt>
                <c:pt idx="642">
                  <c:v>43221</c:v>
                </c:pt>
                <c:pt idx="643">
                  <c:v>43252</c:v>
                </c:pt>
                <c:pt idx="644">
                  <c:v>43282</c:v>
                </c:pt>
                <c:pt idx="645">
                  <c:v>43313</c:v>
                </c:pt>
                <c:pt idx="646">
                  <c:v>43344</c:v>
                </c:pt>
                <c:pt idx="647">
                  <c:v>43374</c:v>
                </c:pt>
                <c:pt idx="648">
                  <c:v>43405</c:v>
                </c:pt>
                <c:pt idx="649">
                  <c:v>43435</c:v>
                </c:pt>
                <c:pt idx="650">
                  <c:v>43466</c:v>
                </c:pt>
                <c:pt idx="651">
                  <c:v>43497</c:v>
                </c:pt>
                <c:pt idx="652">
                  <c:v>43525</c:v>
                </c:pt>
                <c:pt idx="653">
                  <c:v>43556</c:v>
                </c:pt>
                <c:pt idx="654">
                  <c:v>43586</c:v>
                </c:pt>
                <c:pt idx="655">
                  <c:v>43617</c:v>
                </c:pt>
                <c:pt idx="656">
                  <c:v>43647</c:v>
                </c:pt>
                <c:pt idx="657">
                  <c:v>43678</c:v>
                </c:pt>
                <c:pt idx="658">
                  <c:v>43709</c:v>
                </c:pt>
                <c:pt idx="659">
                  <c:v>43739</c:v>
                </c:pt>
                <c:pt idx="660">
                  <c:v>43770</c:v>
                </c:pt>
                <c:pt idx="661">
                  <c:v>43800</c:v>
                </c:pt>
                <c:pt idx="662">
                  <c:v>43831</c:v>
                </c:pt>
                <c:pt idx="663">
                  <c:v>43862</c:v>
                </c:pt>
                <c:pt idx="664">
                  <c:v>43891</c:v>
                </c:pt>
                <c:pt idx="665">
                  <c:v>43922</c:v>
                </c:pt>
                <c:pt idx="666">
                  <c:v>43952</c:v>
                </c:pt>
                <c:pt idx="667">
                  <c:v>43983</c:v>
                </c:pt>
                <c:pt idx="668">
                  <c:v>44013</c:v>
                </c:pt>
                <c:pt idx="669">
                  <c:v>44044</c:v>
                </c:pt>
                <c:pt idx="670">
                  <c:v>44075</c:v>
                </c:pt>
                <c:pt idx="671">
                  <c:v>44105</c:v>
                </c:pt>
                <c:pt idx="672">
                  <c:v>44136</c:v>
                </c:pt>
                <c:pt idx="673">
                  <c:v>44166</c:v>
                </c:pt>
                <c:pt idx="674">
                  <c:v>44197</c:v>
                </c:pt>
                <c:pt idx="675">
                  <c:v>44228</c:v>
                </c:pt>
                <c:pt idx="676">
                  <c:v>44256</c:v>
                </c:pt>
                <c:pt idx="677">
                  <c:v>44287</c:v>
                </c:pt>
                <c:pt idx="678">
                  <c:v>44317</c:v>
                </c:pt>
                <c:pt idx="679">
                  <c:v>44348</c:v>
                </c:pt>
                <c:pt idx="680">
                  <c:v>44378</c:v>
                </c:pt>
                <c:pt idx="681">
                  <c:v>44409</c:v>
                </c:pt>
                <c:pt idx="682">
                  <c:v>44440</c:v>
                </c:pt>
                <c:pt idx="683">
                  <c:v>44470</c:v>
                </c:pt>
                <c:pt idx="684">
                  <c:v>44501</c:v>
                </c:pt>
                <c:pt idx="685">
                  <c:v>44531</c:v>
                </c:pt>
                <c:pt idx="686">
                  <c:v>44562</c:v>
                </c:pt>
                <c:pt idx="687">
                  <c:v>44593</c:v>
                </c:pt>
                <c:pt idx="688">
                  <c:v>44621</c:v>
                </c:pt>
                <c:pt idx="689">
                  <c:v>44652</c:v>
                </c:pt>
                <c:pt idx="690">
                  <c:v>44682</c:v>
                </c:pt>
                <c:pt idx="691">
                  <c:v>44713</c:v>
                </c:pt>
                <c:pt idx="692">
                  <c:v>44743</c:v>
                </c:pt>
                <c:pt idx="693">
                  <c:v>44774</c:v>
                </c:pt>
                <c:pt idx="694">
                  <c:v>44805</c:v>
                </c:pt>
                <c:pt idx="695">
                  <c:v>44835</c:v>
                </c:pt>
                <c:pt idx="696">
                  <c:v>44866</c:v>
                </c:pt>
                <c:pt idx="697">
                  <c:v>44896</c:v>
                </c:pt>
                <c:pt idx="698">
                  <c:v>44927</c:v>
                </c:pt>
                <c:pt idx="699">
                  <c:v>44958</c:v>
                </c:pt>
                <c:pt idx="700">
                  <c:v>44986</c:v>
                </c:pt>
                <c:pt idx="701">
                  <c:v>45017</c:v>
                </c:pt>
                <c:pt idx="702">
                  <c:v>45047</c:v>
                </c:pt>
                <c:pt idx="703">
                  <c:v>45078</c:v>
                </c:pt>
                <c:pt idx="704">
                  <c:v>45108</c:v>
                </c:pt>
                <c:pt idx="705">
                  <c:v>45139</c:v>
                </c:pt>
                <c:pt idx="706">
                  <c:v>45170</c:v>
                </c:pt>
                <c:pt idx="707">
                  <c:v>45200</c:v>
                </c:pt>
                <c:pt idx="708">
                  <c:v>45231</c:v>
                </c:pt>
                <c:pt idx="709">
                  <c:v>45261</c:v>
                </c:pt>
                <c:pt idx="710">
                  <c:v>45292</c:v>
                </c:pt>
                <c:pt idx="711">
                  <c:v>45323</c:v>
                </c:pt>
                <c:pt idx="712">
                  <c:v>45352</c:v>
                </c:pt>
                <c:pt idx="713">
                  <c:v>45383</c:v>
                </c:pt>
                <c:pt idx="714">
                  <c:v>45413</c:v>
                </c:pt>
                <c:pt idx="715">
                  <c:v>45444</c:v>
                </c:pt>
                <c:pt idx="716">
                  <c:v>45474</c:v>
                </c:pt>
                <c:pt idx="717">
                  <c:v>45505</c:v>
                </c:pt>
                <c:pt idx="718">
                  <c:v>45536</c:v>
                </c:pt>
                <c:pt idx="719">
                  <c:v>45566</c:v>
                </c:pt>
                <c:pt idx="720">
                  <c:v>45597</c:v>
                </c:pt>
                <c:pt idx="721">
                  <c:v>45627</c:v>
                </c:pt>
                <c:pt idx="722">
                  <c:v>45658</c:v>
                </c:pt>
                <c:pt idx="723">
                  <c:v>45689</c:v>
                </c:pt>
                <c:pt idx="724">
                  <c:v>45717</c:v>
                </c:pt>
                <c:pt idx="725">
                  <c:v>45748</c:v>
                </c:pt>
                <c:pt idx="726">
                  <c:v>45778</c:v>
                </c:pt>
                <c:pt idx="727">
                  <c:v>45809</c:v>
                </c:pt>
                <c:pt idx="728">
                  <c:v>45839</c:v>
                </c:pt>
                <c:pt idx="729">
                  <c:v>45870</c:v>
                </c:pt>
                <c:pt idx="730">
                  <c:v>45901</c:v>
                </c:pt>
                <c:pt idx="731">
                  <c:v>45931</c:v>
                </c:pt>
                <c:pt idx="732">
                  <c:v>45962</c:v>
                </c:pt>
              </c:numCache>
            </c:numRef>
          </c:xVal>
          <c:yVal>
            <c:numRef>
              <c:f>Sheet1!$B$600:$B$1332</c:f>
              <c:numCache>
                <c:formatCode>General</c:formatCode>
                <c:ptCount val="733"/>
                <c:pt idx="0">
                  <c:v>35.31</c:v>
                </c:pt>
                <c:pt idx="1">
                  <c:v>35.31</c:v>
                </c:pt>
                <c:pt idx="2">
                  <c:v>35.31</c:v>
                </c:pt>
                <c:pt idx="3">
                  <c:v>35.31</c:v>
                </c:pt>
                <c:pt idx="4">
                  <c:v>35.31</c:v>
                </c:pt>
                <c:pt idx="5">
                  <c:v>35.31</c:v>
                </c:pt>
                <c:pt idx="6">
                  <c:v>35.31</c:v>
                </c:pt>
                <c:pt idx="7">
                  <c:v>35.31</c:v>
                </c:pt>
                <c:pt idx="8">
                  <c:v>35.31</c:v>
                </c:pt>
                <c:pt idx="9">
                  <c:v>35.31</c:v>
                </c:pt>
                <c:pt idx="10">
                  <c:v>35.31</c:v>
                </c:pt>
                <c:pt idx="11">
                  <c:v>35.31</c:v>
                </c:pt>
                <c:pt idx="12">
                  <c:v>35.31</c:v>
                </c:pt>
                <c:pt idx="13">
                  <c:v>35.31</c:v>
                </c:pt>
                <c:pt idx="14">
                  <c:v>35.31</c:v>
                </c:pt>
                <c:pt idx="15">
                  <c:v>35.31</c:v>
                </c:pt>
                <c:pt idx="16">
                  <c:v>35.31</c:v>
                </c:pt>
                <c:pt idx="17">
                  <c:v>35.31</c:v>
                </c:pt>
                <c:pt idx="18">
                  <c:v>35.31</c:v>
                </c:pt>
                <c:pt idx="19">
                  <c:v>35.31</c:v>
                </c:pt>
                <c:pt idx="20">
                  <c:v>35.31</c:v>
                </c:pt>
                <c:pt idx="21">
                  <c:v>35.31</c:v>
                </c:pt>
                <c:pt idx="22">
                  <c:v>35.31</c:v>
                </c:pt>
                <c:pt idx="23">
                  <c:v>35.31</c:v>
                </c:pt>
                <c:pt idx="24">
                  <c:v>35.31</c:v>
                </c:pt>
                <c:pt idx="25">
                  <c:v>35.31</c:v>
                </c:pt>
                <c:pt idx="26">
                  <c:v>35.31</c:v>
                </c:pt>
                <c:pt idx="27">
                  <c:v>35.31</c:v>
                </c:pt>
                <c:pt idx="28">
                  <c:v>35.31</c:v>
                </c:pt>
                <c:pt idx="29">
                  <c:v>35.31</c:v>
                </c:pt>
                <c:pt idx="30">
                  <c:v>35.31</c:v>
                </c:pt>
                <c:pt idx="31">
                  <c:v>35.31</c:v>
                </c:pt>
                <c:pt idx="32">
                  <c:v>35.31</c:v>
                </c:pt>
                <c:pt idx="33">
                  <c:v>35.31</c:v>
                </c:pt>
                <c:pt idx="34">
                  <c:v>35.31</c:v>
                </c:pt>
                <c:pt idx="35">
                  <c:v>35.31</c:v>
                </c:pt>
                <c:pt idx="36">
                  <c:v>35.31</c:v>
                </c:pt>
                <c:pt idx="37">
                  <c:v>35.31</c:v>
                </c:pt>
                <c:pt idx="38">
                  <c:v>40.31</c:v>
                </c:pt>
                <c:pt idx="39">
                  <c:v>40.31</c:v>
                </c:pt>
                <c:pt idx="40">
                  <c:v>40.31</c:v>
                </c:pt>
                <c:pt idx="41">
                  <c:v>39.1</c:v>
                </c:pt>
                <c:pt idx="42">
                  <c:v>42</c:v>
                </c:pt>
                <c:pt idx="43">
                  <c:v>40.950000000000003</c:v>
                </c:pt>
                <c:pt idx="44">
                  <c:v>38.9</c:v>
                </c:pt>
                <c:pt idx="45">
                  <c:v>39.85</c:v>
                </c:pt>
                <c:pt idx="46">
                  <c:v>39.700000000000003</c:v>
                </c:pt>
                <c:pt idx="47">
                  <c:v>39.200000000000003</c:v>
                </c:pt>
                <c:pt idx="48">
                  <c:v>39.85</c:v>
                </c:pt>
                <c:pt idx="49">
                  <c:v>41.95</c:v>
                </c:pt>
                <c:pt idx="50">
                  <c:v>42.55</c:v>
                </c:pt>
                <c:pt idx="51">
                  <c:v>42.78</c:v>
                </c:pt>
                <c:pt idx="52">
                  <c:v>43.1</c:v>
                </c:pt>
                <c:pt idx="53">
                  <c:v>43.6</c:v>
                </c:pt>
                <c:pt idx="54">
                  <c:v>43.15</c:v>
                </c:pt>
                <c:pt idx="55">
                  <c:v>41.23</c:v>
                </c:pt>
                <c:pt idx="56">
                  <c:v>41.45</c:v>
                </c:pt>
                <c:pt idx="57">
                  <c:v>40.950000000000003</c:v>
                </c:pt>
                <c:pt idx="58">
                  <c:v>40.65</c:v>
                </c:pt>
                <c:pt idx="59">
                  <c:v>39.85</c:v>
                </c:pt>
                <c:pt idx="60">
                  <c:v>35.549999999999997</c:v>
                </c:pt>
                <c:pt idx="61">
                  <c:v>35.21</c:v>
                </c:pt>
                <c:pt idx="62">
                  <c:v>34.979999999999997</c:v>
                </c:pt>
                <c:pt idx="63">
                  <c:v>35</c:v>
                </c:pt>
                <c:pt idx="64">
                  <c:v>35.299999999999997</c:v>
                </c:pt>
                <c:pt idx="65">
                  <c:v>35.85</c:v>
                </c:pt>
                <c:pt idx="66">
                  <c:v>35.5</c:v>
                </c:pt>
                <c:pt idx="67">
                  <c:v>35.51</c:v>
                </c:pt>
                <c:pt idx="68">
                  <c:v>35.29</c:v>
                </c:pt>
                <c:pt idx="69">
                  <c:v>35.78</c:v>
                </c:pt>
                <c:pt idx="70">
                  <c:v>36.24</c:v>
                </c:pt>
                <c:pt idx="71">
                  <c:v>37.4</c:v>
                </c:pt>
                <c:pt idx="72">
                  <c:v>37.6</c:v>
                </c:pt>
                <c:pt idx="73">
                  <c:v>37.380000000000003</c:v>
                </c:pt>
                <c:pt idx="74">
                  <c:v>38</c:v>
                </c:pt>
                <c:pt idx="75">
                  <c:v>38.79</c:v>
                </c:pt>
                <c:pt idx="76">
                  <c:v>38.799999999999997</c:v>
                </c:pt>
                <c:pt idx="77">
                  <c:v>39.6</c:v>
                </c:pt>
                <c:pt idx="78">
                  <c:v>40.799999999999997</c:v>
                </c:pt>
                <c:pt idx="79">
                  <c:v>40.200000000000003</c:v>
                </c:pt>
                <c:pt idx="80">
                  <c:v>42.48</c:v>
                </c:pt>
                <c:pt idx="81">
                  <c:v>41</c:v>
                </c:pt>
                <c:pt idx="82">
                  <c:v>42.48</c:v>
                </c:pt>
                <c:pt idx="83">
                  <c:v>42.4</c:v>
                </c:pt>
                <c:pt idx="84">
                  <c:v>43.55</c:v>
                </c:pt>
                <c:pt idx="85">
                  <c:v>43.5</c:v>
                </c:pt>
                <c:pt idx="86">
                  <c:v>46.95</c:v>
                </c:pt>
                <c:pt idx="87">
                  <c:v>48.4</c:v>
                </c:pt>
                <c:pt idx="88">
                  <c:v>48.38</c:v>
                </c:pt>
                <c:pt idx="89">
                  <c:v>49.5</c:v>
                </c:pt>
                <c:pt idx="90">
                  <c:v>59.3</c:v>
                </c:pt>
                <c:pt idx="91">
                  <c:v>64.099999999999994</c:v>
                </c:pt>
                <c:pt idx="92">
                  <c:v>68.900000000000006</c:v>
                </c:pt>
                <c:pt idx="93">
                  <c:v>66.8</c:v>
                </c:pt>
                <c:pt idx="94">
                  <c:v>64.099999999999994</c:v>
                </c:pt>
                <c:pt idx="95">
                  <c:v>64.430000000000007</c:v>
                </c:pt>
                <c:pt idx="96">
                  <c:v>63.6</c:v>
                </c:pt>
                <c:pt idx="97">
                  <c:v>64.7</c:v>
                </c:pt>
                <c:pt idx="98">
                  <c:v>66</c:v>
                </c:pt>
                <c:pt idx="99">
                  <c:v>85.3</c:v>
                </c:pt>
                <c:pt idx="100">
                  <c:v>90.25</c:v>
                </c:pt>
                <c:pt idx="101">
                  <c:v>90.7</c:v>
                </c:pt>
                <c:pt idx="102">
                  <c:v>114.5</c:v>
                </c:pt>
                <c:pt idx="103">
                  <c:v>123.5</c:v>
                </c:pt>
                <c:pt idx="104">
                  <c:v>115.2</c:v>
                </c:pt>
                <c:pt idx="105">
                  <c:v>104</c:v>
                </c:pt>
                <c:pt idx="106">
                  <c:v>100.25</c:v>
                </c:pt>
                <c:pt idx="107">
                  <c:v>97.25</c:v>
                </c:pt>
                <c:pt idx="108">
                  <c:v>100.25</c:v>
                </c:pt>
                <c:pt idx="109">
                  <c:v>112.25</c:v>
                </c:pt>
                <c:pt idx="110">
                  <c:v>133.25</c:v>
                </c:pt>
                <c:pt idx="111">
                  <c:v>169.5</c:v>
                </c:pt>
                <c:pt idx="112">
                  <c:v>173</c:v>
                </c:pt>
                <c:pt idx="113">
                  <c:v>168.5</c:v>
                </c:pt>
                <c:pt idx="114">
                  <c:v>156.5</c:v>
                </c:pt>
                <c:pt idx="115">
                  <c:v>146.75</c:v>
                </c:pt>
                <c:pt idx="116">
                  <c:v>154</c:v>
                </c:pt>
                <c:pt idx="117">
                  <c:v>155.25</c:v>
                </c:pt>
                <c:pt idx="118">
                  <c:v>147.5</c:v>
                </c:pt>
                <c:pt idx="119">
                  <c:v>166.4</c:v>
                </c:pt>
                <c:pt idx="120">
                  <c:v>182</c:v>
                </c:pt>
                <c:pt idx="121">
                  <c:v>187.5</c:v>
                </c:pt>
                <c:pt idx="122">
                  <c:v>176.25</c:v>
                </c:pt>
                <c:pt idx="123">
                  <c:v>181.75</c:v>
                </c:pt>
                <c:pt idx="124">
                  <c:v>177.75</c:v>
                </c:pt>
                <c:pt idx="125">
                  <c:v>167.4</c:v>
                </c:pt>
                <c:pt idx="126">
                  <c:v>167.75</c:v>
                </c:pt>
                <c:pt idx="127">
                  <c:v>166</c:v>
                </c:pt>
                <c:pt idx="128">
                  <c:v>166.4</c:v>
                </c:pt>
                <c:pt idx="129">
                  <c:v>161.5</c:v>
                </c:pt>
                <c:pt idx="130">
                  <c:v>138.25</c:v>
                </c:pt>
                <c:pt idx="131">
                  <c:v>143.4</c:v>
                </c:pt>
                <c:pt idx="132">
                  <c:v>138.25</c:v>
                </c:pt>
                <c:pt idx="133">
                  <c:v>140.25</c:v>
                </c:pt>
                <c:pt idx="134">
                  <c:v>128</c:v>
                </c:pt>
                <c:pt idx="135">
                  <c:v>132.30000000000001</c:v>
                </c:pt>
                <c:pt idx="136">
                  <c:v>129.5</c:v>
                </c:pt>
                <c:pt idx="137">
                  <c:v>128.15</c:v>
                </c:pt>
                <c:pt idx="138">
                  <c:v>125.25</c:v>
                </c:pt>
                <c:pt idx="139">
                  <c:v>123.8</c:v>
                </c:pt>
                <c:pt idx="140">
                  <c:v>112.4</c:v>
                </c:pt>
                <c:pt idx="141">
                  <c:v>103.05</c:v>
                </c:pt>
                <c:pt idx="142">
                  <c:v>116.1</c:v>
                </c:pt>
                <c:pt idx="143">
                  <c:v>122.3</c:v>
                </c:pt>
                <c:pt idx="144">
                  <c:v>130.1</c:v>
                </c:pt>
                <c:pt idx="145">
                  <c:v>134.55000000000001</c:v>
                </c:pt>
                <c:pt idx="146">
                  <c:v>132.1</c:v>
                </c:pt>
                <c:pt idx="147">
                  <c:v>142.25</c:v>
                </c:pt>
                <c:pt idx="148">
                  <c:v>149.80000000000001</c:v>
                </c:pt>
                <c:pt idx="149">
                  <c:v>146.5</c:v>
                </c:pt>
                <c:pt idx="150">
                  <c:v>143.19999999999999</c:v>
                </c:pt>
                <c:pt idx="151">
                  <c:v>142.94999999999999</c:v>
                </c:pt>
                <c:pt idx="152">
                  <c:v>144.5</c:v>
                </c:pt>
                <c:pt idx="153">
                  <c:v>146</c:v>
                </c:pt>
                <c:pt idx="154">
                  <c:v>153.9</c:v>
                </c:pt>
                <c:pt idx="155">
                  <c:v>160.80000000000001</c:v>
                </c:pt>
                <c:pt idx="156">
                  <c:v>159.80000000000001</c:v>
                </c:pt>
                <c:pt idx="157">
                  <c:v>165.6</c:v>
                </c:pt>
                <c:pt idx="158">
                  <c:v>175.2</c:v>
                </c:pt>
                <c:pt idx="159">
                  <c:v>182</c:v>
                </c:pt>
                <c:pt idx="160">
                  <c:v>180.75</c:v>
                </c:pt>
                <c:pt idx="161">
                  <c:v>170</c:v>
                </c:pt>
                <c:pt idx="162">
                  <c:v>184.9</c:v>
                </c:pt>
                <c:pt idx="163">
                  <c:v>183.2</c:v>
                </c:pt>
                <c:pt idx="164">
                  <c:v>198.9</c:v>
                </c:pt>
                <c:pt idx="165">
                  <c:v>207.3</c:v>
                </c:pt>
                <c:pt idx="166">
                  <c:v>217.45</c:v>
                </c:pt>
                <c:pt idx="167">
                  <c:v>243.65</c:v>
                </c:pt>
                <c:pt idx="168">
                  <c:v>193.7</c:v>
                </c:pt>
                <c:pt idx="169">
                  <c:v>224.5</c:v>
                </c:pt>
                <c:pt idx="170">
                  <c:v>233.05</c:v>
                </c:pt>
                <c:pt idx="171">
                  <c:v>250.9</c:v>
                </c:pt>
                <c:pt idx="172">
                  <c:v>239.65</c:v>
                </c:pt>
                <c:pt idx="173">
                  <c:v>243.45</c:v>
                </c:pt>
                <c:pt idx="174">
                  <c:v>277.14999999999998</c:v>
                </c:pt>
                <c:pt idx="175">
                  <c:v>276.45</c:v>
                </c:pt>
                <c:pt idx="176">
                  <c:v>295.35000000000002</c:v>
                </c:pt>
                <c:pt idx="177">
                  <c:v>317.75</c:v>
                </c:pt>
                <c:pt idx="178">
                  <c:v>397</c:v>
                </c:pt>
                <c:pt idx="179">
                  <c:v>379.75</c:v>
                </c:pt>
                <c:pt idx="180">
                  <c:v>417.2</c:v>
                </c:pt>
                <c:pt idx="181">
                  <c:v>524</c:v>
                </c:pt>
                <c:pt idx="182">
                  <c:v>668</c:v>
                </c:pt>
                <c:pt idx="183">
                  <c:v>640</c:v>
                </c:pt>
                <c:pt idx="184">
                  <c:v>503.25</c:v>
                </c:pt>
                <c:pt idx="185">
                  <c:v>519.25</c:v>
                </c:pt>
                <c:pt idx="186">
                  <c:v>531.4</c:v>
                </c:pt>
                <c:pt idx="187">
                  <c:v>662.5</c:v>
                </c:pt>
                <c:pt idx="188">
                  <c:v>618</c:v>
                </c:pt>
                <c:pt idx="189">
                  <c:v>633.75</c:v>
                </c:pt>
                <c:pt idx="190">
                  <c:v>670</c:v>
                </c:pt>
                <c:pt idx="191">
                  <c:v>636</c:v>
                </c:pt>
                <c:pt idx="192">
                  <c:v>621.5</c:v>
                </c:pt>
                <c:pt idx="193">
                  <c:v>589.5</c:v>
                </c:pt>
                <c:pt idx="194">
                  <c:v>507.5</c:v>
                </c:pt>
                <c:pt idx="195">
                  <c:v>490.25</c:v>
                </c:pt>
                <c:pt idx="196">
                  <c:v>514.25</c:v>
                </c:pt>
                <c:pt idx="197">
                  <c:v>481</c:v>
                </c:pt>
                <c:pt idx="198">
                  <c:v>478.75</c:v>
                </c:pt>
                <c:pt idx="199">
                  <c:v>421.5</c:v>
                </c:pt>
                <c:pt idx="200">
                  <c:v>405.25</c:v>
                </c:pt>
                <c:pt idx="201">
                  <c:v>425.5</c:v>
                </c:pt>
                <c:pt idx="202">
                  <c:v>426.5</c:v>
                </c:pt>
                <c:pt idx="203">
                  <c:v>429</c:v>
                </c:pt>
                <c:pt idx="204">
                  <c:v>415.5</c:v>
                </c:pt>
                <c:pt idx="205">
                  <c:v>400</c:v>
                </c:pt>
                <c:pt idx="206">
                  <c:v>388.25</c:v>
                </c:pt>
                <c:pt idx="207">
                  <c:v>363.25</c:v>
                </c:pt>
                <c:pt idx="208">
                  <c:v>320.5</c:v>
                </c:pt>
                <c:pt idx="209">
                  <c:v>356.75</c:v>
                </c:pt>
                <c:pt idx="210">
                  <c:v>325.5</c:v>
                </c:pt>
                <c:pt idx="211">
                  <c:v>314</c:v>
                </c:pt>
                <c:pt idx="212">
                  <c:v>342.5</c:v>
                </c:pt>
                <c:pt idx="213">
                  <c:v>409.6</c:v>
                </c:pt>
                <c:pt idx="214">
                  <c:v>394.75</c:v>
                </c:pt>
                <c:pt idx="215">
                  <c:v>422</c:v>
                </c:pt>
                <c:pt idx="216">
                  <c:v>428.25</c:v>
                </c:pt>
                <c:pt idx="217">
                  <c:v>448</c:v>
                </c:pt>
                <c:pt idx="218">
                  <c:v>503</c:v>
                </c:pt>
                <c:pt idx="219">
                  <c:v>419.75</c:v>
                </c:pt>
                <c:pt idx="220">
                  <c:v>414.25</c:v>
                </c:pt>
                <c:pt idx="221">
                  <c:v>428.5</c:v>
                </c:pt>
                <c:pt idx="222">
                  <c:v>439</c:v>
                </c:pt>
                <c:pt idx="223">
                  <c:v>416.75</c:v>
                </c:pt>
                <c:pt idx="224">
                  <c:v>422.25</c:v>
                </c:pt>
                <c:pt idx="225">
                  <c:v>414.5</c:v>
                </c:pt>
                <c:pt idx="226">
                  <c:v>404</c:v>
                </c:pt>
                <c:pt idx="227">
                  <c:v>383.5</c:v>
                </c:pt>
                <c:pt idx="228">
                  <c:v>405.75</c:v>
                </c:pt>
                <c:pt idx="229">
                  <c:v>381.5</c:v>
                </c:pt>
                <c:pt idx="230">
                  <c:v>371.9</c:v>
                </c:pt>
                <c:pt idx="231">
                  <c:v>396.6</c:v>
                </c:pt>
                <c:pt idx="232">
                  <c:v>388.5</c:v>
                </c:pt>
                <c:pt idx="233">
                  <c:v>376.2</c:v>
                </c:pt>
                <c:pt idx="234">
                  <c:v>383.45</c:v>
                </c:pt>
                <c:pt idx="235">
                  <c:v>375.25</c:v>
                </c:pt>
                <c:pt idx="236">
                  <c:v>341.6</c:v>
                </c:pt>
                <c:pt idx="237">
                  <c:v>347.7</c:v>
                </c:pt>
                <c:pt idx="238">
                  <c:v>344.15</c:v>
                </c:pt>
                <c:pt idx="239">
                  <c:v>334.5</c:v>
                </c:pt>
                <c:pt idx="240">
                  <c:v>328.6</c:v>
                </c:pt>
                <c:pt idx="241">
                  <c:v>309</c:v>
                </c:pt>
                <c:pt idx="242">
                  <c:v>304.89999999999998</c:v>
                </c:pt>
                <c:pt idx="243">
                  <c:v>290.5</c:v>
                </c:pt>
                <c:pt idx="244">
                  <c:v>329.8</c:v>
                </c:pt>
                <c:pt idx="245">
                  <c:v>324.64999999999998</c:v>
                </c:pt>
                <c:pt idx="246">
                  <c:v>313.14999999999998</c:v>
                </c:pt>
                <c:pt idx="247">
                  <c:v>316.5</c:v>
                </c:pt>
                <c:pt idx="248">
                  <c:v>328.1</c:v>
                </c:pt>
                <c:pt idx="249">
                  <c:v>335.75</c:v>
                </c:pt>
                <c:pt idx="250">
                  <c:v>326.5</c:v>
                </c:pt>
                <c:pt idx="251">
                  <c:v>325.75</c:v>
                </c:pt>
                <c:pt idx="252">
                  <c:v>327.39999999999998</c:v>
                </c:pt>
                <c:pt idx="253">
                  <c:v>327</c:v>
                </c:pt>
                <c:pt idx="254">
                  <c:v>354</c:v>
                </c:pt>
                <c:pt idx="255">
                  <c:v>338.25</c:v>
                </c:pt>
                <c:pt idx="256">
                  <c:v>345.5</c:v>
                </c:pt>
                <c:pt idx="257">
                  <c:v>344.75</c:v>
                </c:pt>
                <c:pt idx="258">
                  <c:v>343.35</c:v>
                </c:pt>
                <c:pt idx="259">
                  <c:v>345.5</c:v>
                </c:pt>
                <c:pt idx="260">
                  <c:v>357.75</c:v>
                </c:pt>
                <c:pt idx="261">
                  <c:v>386</c:v>
                </c:pt>
                <c:pt idx="262">
                  <c:v>421.2</c:v>
                </c:pt>
                <c:pt idx="263">
                  <c:v>401.5</c:v>
                </c:pt>
                <c:pt idx="264">
                  <c:v>390</c:v>
                </c:pt>
                <c:pt idx="265">
                  <c:v>390.9</c:v>
                </c:pt>
                <c:pt idx="266">
                  <c:v>407.3</c:v>
                </c:pt>
                <c:pt idx="267">
                  <c:v>405.75</c:v>
                </c:pt>
                <c:pt idx="268">
                  <c:v>419</c:v>
                </c:pt>
                <c:pt idx="269">
                  <c:v>454.5</c:v>
                </c:pt>
                <c:pt idx="270">
                  <c:v>451.75</c:v>
                </c:pt>
                <c:pt idx="271">
                  <c:v>447.1</c:v>
                </c:pt>
                <c:pt idx="272">
                  <c:v>464.25</c:v>
                </c:pt>
                <c:pt idx="273">
                  <c:v>455.9</c:v>
                </c:pt>
                <c:pt idx="274">
                  <c:v>459.15</c:v>
                </c:pt>
                <c:pt idx="275">
                  <c:v>468</c:v>
                </c:pt>
                <c:pt idx="276">
                  <c:v>493.9</c:v>
                </c:pt>
                <c:pt idx="277">
                  <c:v>486.5</c:v>
                </c:pt>
                <c:pt idx="278">
                  <c:v>465.25</c:v>
                </c:pt>
                <c:pt idx="279">
                  <c:v>423.75</c:v>
                </c:pt>
                <c:pt idx="280">
                  <c:v>458</c:v>
                </c:pt>
                <c:pt idx="281">
                  <c:v>449.75</c:v>
                </c:pt>
                <c:pt idx="282">
                  <c:v>454</c:v>
                </c:pt>
                <c:pt idx="283">
                  <c:v>436.85</c:v>
                </c:pt>
                <c:pt idx="284">
                  <c:v>432.7</c:v>
                </c:pt>
                <c:pt idx="285">
                  <c:v>426.35</c:v>
                </c:pt>
                <c:pt idx="286">
                  <c:v>396.15</c:v>
                </c:pt>
                <c:pt idx="287">
                  <c:v>412.3</c:v>
                </c:pt>
                <c:pt idx="288">
                  <c:v>421.3</c:v>
                </c:pt>
                <c:pt idx="289">
                  <c:v>410.15</c:v>
                </c:pt>
                <c:pt idx="290">
                  <c:v>394.85</c:v>
                </c:pt>
                <c:pt idx="291">
                  <c:v>386.75</c:v>
                </c:pt>
                <c:pt idx="292">
                  <c:v>382.3</c:v>
                </c:pt>
                <c:pt idx="293">
                  <c:v>381.3</c:v>
                </c:pt>
                <c:pt idx="294">
                  <c:v>363.5</c:v>
                </c:pt>
                <c:pt idx="295">
                  <c:v>371.15</c:v>
                </c:pt>
                <c:pt idx="296">
                  <c:v>369.1</c:v>
                </c:pt>
                <c:pt idx="297">
                  <c:v>359.6</c:v>
                </c:pt>
                <c:pt idx="298">
                  <c:v>369</c:v>
                </c:pt>
                <c:pt idx="299">
                  <c:v>376.05</c:v>
                </c:pt>
                <c:pt idx="300">
                  <c:v>406.8</c:v>
                </c:pt>
                <c:pt idx="301">
                  <c:v>401</c:v>
                </c:pt>
                <c:pt idx="302">
                  <c:v>417.55</c:v>
                </c:pt>
                <c:pt idx="303">
                  <c:v>409.1</c:v>
                </c:pt>
                <c:pt idx="304">
                  <c:v>372.2</c:v>
                </c:pt>
                <c:pt idx="305">
                  <c:v>371.55</c:v>
                </c:pt>
                <c:pt idx="306">
                  <c:v>363.7</c:v>
                </c:pt>
                <c:pt idx="307">
                  <c:v>352.4</c:v>
                </c:pt>
                <c:pt idx="308">
                  <c:v>371.1</c:v>
                </c:pt>
                <c:pt idx="309">
                  <c:v>388.1</c:v>
                </c:pt>
                <c:pt idx="310">
                  <c:v>406.1</c:v>
                </c:pt>
                <c:pt idx="311">
                  <c:v>379.25</c:v>
                </c:pt>
                <c:pt idx="312">
                  <c:v>384.8</c:v>
                </c:pt>
                <c:pt idx="313">
                  <c:v>391</c:v>
                </c:pt>
                <c:pt idx="314">
                  <c:v>369.6</c:v>
                </c:pt>
                <c:pt idx="315">
                  <c:v>363</c:v>
                </c:pt>
                <c:pt idx="316">
                  <c:v>354</c:v>
                </c:pt>
                <c:pt idx="317">
                  <c:v>353.45</c:v>
                </c:pt>
                <c:pt idx="318">
                  <c:v>361.55</c:v>
                </c:pt>
                <c:pt idx="319">
                  <c:v>366.9</c:v>
                </c:pt>
                <c:pt idx="320">
                  <c:v>363.6</c:v>
                </c:pt>
                <c:pt idx="321">
                  <c:v>347</c:v>
                </c:pt>
                <c:pt idx="322">
                  <c:v>350.5</c:v>
                </c:pt>
                <c:pt idx="323">
                  <c:v>357.4</c:v>
                </c:pt>
                <c:pt idx="324">
                  <c:v>366.85</c:v>
                </c:pt>
                <c:pt idx="325">
                  <c:v>353.4</c:v>
                </c:pt>
                <c:pt idx="326">
                  <c:v>354.15</c:v>
                </c:pt>
                <c:pt idx="327">
                  <c:v>353.05</c:v>
                </c:pt>
                <c:pt idx="328">
                  <c:v>341.5</c:v>
                </c:pt>
                <c:pt idx="329">
                  <c:v>336.25</c:v>
                </c:pt>
                <c:pt idx="330">
                  <c:v>337.55</c:v>
                </c:pt>
                <c:pt idx="331">
                  <c:v>343.4</c:v>
                </c:pt>
                <c:pt idx="332">
                  <c:v>357.95</c:v>
                </c:pt>
                <c:pt idx="333">
                  <c:v>340.5</c:v>
                </c:pt>
                <c:pt idx="334">
                  <c:v>349</c:v>
                </c:pt>
                <c:pt idx="335">
                  <c:v>338.8</c:v>
                </c:pt>
                <c:pt idx="336">
                  <c:v>333.7</c:v>
                </c:pt>
                <c:pt idx="337">
                  <c:v>332.9</c:v>
                </c:pt>
                <c:pt idx="338">
                  <c:v>330.75</c:v>
                </c:pt>
                <c:pt idx="339">
                  <c:v>328.75</c:v>
                </c:pt>
                <c:pt idx="340">
                  <c:v>336.9</c:v>
                </c:pt>
                <c:pt idx="341">
                  <c:v>353.45</c:v>
                </c:pt>
                <c:pt idx="342">
                  <c:v>381</c:v>
                </c:pt>
                <c:pt idx="343">
                  <c:v>379</c:v>
                </c:pt>
                <c:pt idx="344">
                  <c:v>403.7</c:v>
                </c:pt>
                <c:pt idx="345">
                  <c:v>370.6</c:v>
                </c:pt>
                <c:pt idx="346">
                  <c:v>352.65</c:v>
                </c:pt>
                <c:pt idx="347">
                  <c:v>369.1</c:v>
                </c:pt>
                <c:pt idx="348">
                  <c:v>370.8</c:v>
                </c:pt>
                <c:pt idx="349">
                  <c:v>390.65</c:v>
                </c:pt>
                <c:pt idx="350">
                  <c:v>378.2</c:v>
                </c:pt>
                <c:pt idx="351">
                  <c:v>380.75</c:v>
                </c:pt>
                <c:pt idx="352">
                  <c:v>389.7</c:v>
                </c:pt>
                <c:pt idx="353">
                  <c:v>376.45</c:v>
                </c:pt>
                <c:pt idx="354">
                  <c:v>386.25</c:v>
                </c:pt>
                <c:pt idx="355">
                  <c:v>385.4</c:v>
                </c:pt>
                <c:pt idx="356">
                  <c:v>384.05</c:v>
                </c:pt>
                <c:pt idx="357">
                  <c:v>386.25</c:v>
                </c:pt>
                <c:pt idx="358">
                  <c:v>395.35</c:v>
                </c:pt>
                <c:pt idx="359">
                  <c:v>387.4</c:v>
                </c:pt>
                <c:pt idx="360">
                  <c:v>383.35</c:v>
                </c:pt>
                <c:pt idx="361">
                  <c:v>382.5</c:v>
                </c:pt>
                <c:pt idx="362">
                  <c:v>375.85</c:v>
                </c:pt>
                <c:pt idx="363">
                  <c:v>375.7</c:v>
                </c:pt>
                <c:pt idx="364">
                  <c:v>386.55</c:v>
                </c:pt>
                <c:pt idx="365">
                  <c:v>389.5</c:v>
                </c:pt>
                <c:pt idx="366">
                  <c:v>384.25</c:v>
                </c:pt>
                <c:pt idx="367">
                  <c:v>387.6</c:v>
                </c:pt>
                <c:pt idx="368">
                  <c:v>383.35</c:v>
                </c:pt>
                <c:pt idx="369">
                  <c:v>381.65</c:v>
                </c:pt>
                <c:pt idx="370">
                  <c:v>383.75</c:v>
                </c:pt>
                <c:pt idx="371">
                  <c:v>382.4</c:v>
                </c:pt>
                <c:pt idx="372">
                  <c:v>387.85</c:v>
                </c:pt>
                <c:pt idx="373">
                  <c:v>386.7</c:v>
                </c:pt>
                <c:pt idx="374">
                  <c:v>403.2</c:v>
                </c:pt>
                <c:pt idx="375">
                  <c:v>400.35</c:v>
                </c:pt>
                <c:pt idx="376">
                  <c:v>396.7</c:v>
                </c:pt>
                <c:pt idx="377">
                  <c:v>390.15</c:v>
                </c:pt>
                <c:pt idx="378">
                  <c:v>390.55</c:v>
                </c:pt>
                <c:pt idx="379">
                  <c:v>381.3</c:v>
                </c:pt>
                <c:pt idx="380">
                  <c:v>385.5</c:v>
                </c:pt>
                <c:pt idx="381">
                  <c:v>387.25</c:v>
                </c:pt>
                <c:pt idx="382">
                  <c:v>379.3</c:v>
                </c:pt>
                <c:pt idx="383">
                  <c:v>379.3</c:v>
                </c:pt>
                <c:pt idx="384">
                  <c:v>371.9</c:v>
                </c:pt>
                <c:pt idx="385">
                  <c:v>369.55</c:v>
                </c:pt>
                <c:pt idx="386">
                  <c:v>345</c:v>
                </c:pt>
                <c:pt idx="387">
                  <c:v>360.6</c:v>
                </c:pt>
                <c:pt idx="388">
                  <c:v>349.5</c:v>
                </c:pt>
                <c:pt idx="389">
                  <c:v>340.45</c:v>
                </c:pt>
                <c:pt idx="390">
                  <c:v>345.75</c:v>
                </c:pt>
                <c:pt idx="391">
                  <c:v>334.05</c:v>
                </c:pt>
                <c:pt idx="392">
                  <c:v>326</c:v>
                </c:pt>
                <c:pt idx="393">
                  <c:v>325.39999999999998</c:v>
                </c:pt>
                <c:pt idx="394">
                  <c:v>328.75</c:v>
                </c:pt>
                <c:pt idx="395">
                  <c:v>310.39999999999998</c:v>
                </c:pt>
                <c:pt idx="396">
                  <c:v>296.89999999999998</c:v>
                </c:pt>
                <c:pt idx="397">
                  <c:v>289.2</c:v>
                </c:pt>
                <c:pt idx="398">
                  <c:v>301.8</c:v>
                </c:pt>
                <c:pt idx="399">
                  <c:v>296.55</c:v>
                </c:pt>
                <c:pt idx="400">
                  <c:v>299.89999999999998</c:v>
                </c:pt>
                <c:pt idx="401">
                  <c:v>310.7</c:v>
                </c:pt>
                <c:pt idx="402">
                  <c:v>292.39999999999998</c:v>
                </c:pt>
                <c:pt idx="403">
                  <c:v>295.75</c:v>
                </c:pt>
                <c:pt idx="404">
                  <c:v>289.39999999999998</c:v>
                </c:pt>
                <c:pt idx="405">
                  <c:v>273.39999999999998</c:v>
                </c:pt>
                <c:pt idx="406">
                  <c:v>294.10000000000002</c:v>
                </c:pt>
                <c:pt idx="407">
                  <c:v>293.10000000000002</c:v>
                </c:pt>
                <c:pt idx="408">
                  <c:v>295.75</c:v>
                </c:pt>
                <c:pt idx="409">
                  <c:v>287.45</c:v>
                </c:pt>
                <c:pt idx="410">
                  <c:v>285.64999999999998</c:v>
                </c:pt>
                <c:pt idx="411">
                  <c:v>286.8</c:v>
                </c:pt>
                <c:pt idx="412">
                  <c:v>279.8</c:v>
                </c:pt>
                <c:pt idx="413">
                  <c:v>285.85000000000002</c:v>
                </c:pt>
                <c:pt idx="414">
                  <c:v>271.05</c:v>
                </c:pt>
                <c:pt idx="415">
                  <c:v>261.2</c:v>
                </c:pt>
                <c:pt idx="416">
                  <c:v>256.75</c:v>
                </c:pt>
                <c:pt idx="417">
                  <c:v>254.6</c:v>
                </c:pt>
                <c:pt idx="418">
                  <c:v>303.75</c:v>
                </c:pt>
                <c:pt idx="419">
                  <c:v>298.85000000000002</c:v>
                </c:pt>
                <c:pt idx="420">
                  <c:v>292</c:v>
                </c:pt>
                <c:pt idx="421">
                  <c:v>290.85000000000002</c:v>
                </c:pt>
                <c:pt idx="422">
                  <c:v>283.05</c:v>
                </c:pt>
                <c:pt idx="423">
                  <c:v>294</c:v>
                </c:pt>
                <c:pt idx="424">
                  <c:v>275.89999999999998</c:v>
                </c:pt>
                <c:pt idx="425">
                  <c:v>275.85000000000002</c:v>
                </c:pt>
                <c:pt idx="426">
                  <c:v>272.25</c:v>
                </c:pt>
                <c:pt idx="427">
                  <c:v>289.14999999999998</c:v>
                </c:pt>
                <c:pt idx="428">
                  <c:v>277.39999999999998</c:v>
                </c:pt>
                <c:pt idx="429">
                  <c:v>274.95</c:v>
                </c:pt>
                <c:pt idx="430">
                  <c:v>274.10000000000002</c:v>
                </c:pt>
                <c:pt idx="431">
                  <c:v>263.8</c:v>
                </c:pt>
                <c:pt idx="432">
                  <c:v>267</c:v>
                </c:pt>
                <c:pt idx="433">
                  <c:v>272.64999999999998</c:v>
                </c:pt>
                <c:pt idx="434">
                  <c:v>266.2</c:v>
                </c:pt>
                <c:pt idx="435">
                  <c:v>265</c:v>
                </c:pt>
                <c:pt idx="436">
                  <c:v>259.05</c:v>
                </c:pt>
                <c:pt idx="437">
                  <c:v>263.45</c:v>
                </c:pt>
                <c:pt idx="438">
                  <c:v>266.10000000000002</c:v>
                </c:pt>
                <c:pt idx="439">
                  <c:v>269.89999999999998</c:v>
                </c:pt>
                <c:pt idx="440">
                  <c:v>265.55</c:v>
                </c:pt>
                <c:pt idx="441">
                  <c:v>275.35000000000002</c:v>
                </c:pt>
                <c:pt idx="442">
                  <c:v>290.85000000000002</c:v>
                </c:pt>
                <c:pt idx="443">
                  <c:v>280.95</c:v>
                </c:pt>
                <c:pt idx="444">
                  <c:v>274.7</c:v>
                </c:pt>
                <c:pt idx="445">
                  <c:v>276.5</c:v>
                </c:pt>
                <c:pt idx="446">
                  <c:v>281.5</c:v>
                </c:pt>
                <c:pt idx="447">
                  <c:v>296.55</c:v>
                </c:pt>
                <c:pt idx="448">
                  <c:v>303</c:v>
                </c:pt>
                <c:pt idx="449">
                  <c:v>309.35000000000002</c:v>
                </c:pt>
                <c:pt idx="450">
                  <c:v>327.25</c:v>
                </c:pt>
                <c:pt idx="451">
                  <c:v>319.05</c:v>
                </c:pt>
                <c:pt idx="452">
                  <c:v>305.5</c:v>
                </c:pt>
                <c:pt idx="453">
                  <c:v>312.39999999999998</c:v>
                </c:pt>
                <c:pt idx="454">
                  <c:v>322.39999999999998</c:v>
                </c:pt>
                <c:pt idx="455">
                  <c:v>316.35000000000002</c:v>
                </c:pt>
                <c:pt idx="456">
                  <c:v>318.25</c:v>
                </c:pt>
                <c:pt idx="457">
                  <c:v>342.75</c:v>
                </c:pt>
                <c:pt idx="458">
                  <c:v>370.35</c:v>
                </c:pt>
                <c:pt idx="459">
                  <c:v>347.65</c:v>
                </c:pt>
                <c:pt idx="460">
                  <c:v>335.35</c:v>
                </c:pt>
                <c:pt idx="461">
                  <c:v>336</c:v>
                </c:pt>
                <c:pt idx="462">
                  <c:v>365.8</c:v>
                </c:pt>
                <c:pt idx="463">
                  <c:v>345.15</c:v>
                </c:pt>
                <c:pt idx="464">
                  <c:v>355.75</c:v>
                </c:pt>
                <c:pt idx="465">
                  <c:v>371</c:v>
                </c:pt>
                <c:pt idx="466">
                  <c:v>384.5</c:v>
                </c:pt>
                <c:pt idx="467">
                  <c:v>384.6</c:v>
                </c:pt>
                <c:pt idx="468">
                  <c:v>398.1</c:v>
                </c:pt>
                <c:pt idx="469">
                  <c:v>417.25</c:v>
                </c:pt>
                <c:pt idx="470">
                  <c:v>401.3</c:v>
                </c:pt>
                <c:pt idx="471">
                  <c:v>392.25</c:v>
                </c:pt>
                <c:pt idx="472">
                  <c:v>423</c:v>
                </c:pt>
                <c:pt idx="473">
                  <c:v>387.3</c:v>
                </c:pt>
                <c:pt idx="474">
                  <c:v>393.85</c:v>
                </c:pt>
                <c:pt idx="475">
                  <c:v>393.75</c:v>
                </c:pt>
                <c:pt idx="476">
                  <c:v>389.6</c:v>
                </c:pt>
                <c:pt idx="477">
                  <c:v>408.1</c:v>
                </c:pt>
                <c:pt idx="478">
                  <c:v>412.35</c:v>
                </c:pt>
                <c:pt idx="479">
                  <c:v>426.2</c:v>
                </c:pt>
                <c:pt idx="480">
                  <c:v>452</c:v>
                </c:pt>
                <c:pt idx="481">
                  <c:v>438</c:v>
                </c:pt>
                <c:pt idx="482">
                  <c:v>423.8</c:v>
                </c:pt>
                <c:pt idx="483">
                  <c:v>436.55</c:v>
                </c:pt>
                <c:pt idx="484">
                  <c:v>427.5</c:v>
                </c:pt>
                <c:pt idx="485">
                  <c:v>433.2</c:v>
                </c:pt>
                <c:pt idx="486">
                  <c:v>416.9</c:v>
                </c:pt>
                <c:pt idx="487">
                  <c:v>436.8</c:v>
                </c:pt>
                <c:pt idx="488">
                  <c:v>427.15</c:v>
                </c:pt>
                <c:pt idx="489">
                  <c:v>433</c:v>
                </c:pt>
                <c:pt idx="490">
                  <c:v>473.4</c:v>
                </c:pt>
                <c:pt idx="491">
                  <c:v>472.65</c:v>
                </c:pt>
                <c:pt idx="492">
                  <c:v>493.8</c:v>
                </c:pt>
                <c:pt idx="493">
                  <c:v>513</c:v>
                </c:pt>
                <c:pt idx="494">
                  <c:v>569.79999999999995</c:v>
                </c:pt>
                <c:pt idx="495">
                  <c:v>556.5</c:v>
                </c:pt>
                <c:pt idx="496">
                  <c:v>584</c:v>
                </c:pt>
                <c:pt idx="497">
                  <c:v>638.25</c:v>
                </c:pt>
                <c:pt idx="498">
                  <c:v>654</c:v>
                </c:pt>
                <c:pt idx="499">
                  <c:v>600.4</c:v>
                </c:pt>
                <c:pt idx="500">
                  <c:v>637</c:v>
                </c:pt>
                <c:pt idx="501">
                  <c:v>621.75</c:v>
                </c:pt>
                <c:pt idx="502">
                  <c:v>601.75</c:v>
                </c:pt>
                <c:pt idx="503">
                  <c:v>600.9</c:v>
                </c:pt>
                <c:pt idx="504">
                  <c:v>638.4</c:v>
                </c:pt>
                <c:pt idx="505">
                  <c:v>635.70000000000005</c:v>
                </c:pt>
                <c:pt idx="506">
                  <c:v>645.75</c:v>
                </c:pt>
                <c:pt idx="507">
                  <c:v>677</c:v>
                </c:pt>
                <c:pt idx="508">
                  <c:v>663.5</c:v>
                </c:pt>
                <c:pt idx="509">
                  <c:v>678</c:v>
                </c:pt>
                <c:pt idx="510">
                  <c:v>656.6</c:v>
                </c:pt>
                <c:pt idx="511">
                  <c:v>648.5</c:v>
                </c:pt>
                <c:pt idx="512">
                  <c:v>666.75</c:v>
                </c:pt>
                <c:pt idx="513">
                  <c:v>668</c:v>
                </c:pt>
                <c:pt idx="514">
                  <c:v>737.75</c:v>
                </c:pt>
                <c:pt idx="515">
                  <c:v>783</c:v>
                </c:pt>
                <c:pt idx="516">
                  <c:v>794.75</c:v>
                </c:pt>
                <c:pt idx="517">
                  <c:v>836.5</c:v>
                </c:pt>
                <c:pt idx="518">
                  <c:v>923.75</c:v>
                </c:pt>
                <c:pt idx="519">
                  <c:v>969</c:v>
                </c:pt>
                <c:pt idx="520">
                  <c:v>937.25</c:v>
                </c:pt>
                <c:pt idx="521">
                  <c:v>867.75</c:v>
                </c:pt>
                <c:pt idx="522">
                  <c:v>879.5</c:v>
                </c:pt>
                <c:pt idx="523">
                  <c:v>932.75</c:v>
                </c:pt>
                <c:pt idx="524">
                  <c:v>912</c:v>
                </c:pt>
                <c:pt idx="525">
                  <c:v>836.5</c:v>
                </c:pt>
                <c:pt idx="526">
                  <c:v>897</c:v>
                </c:pt>
                <c:pt idx="527">
                  <c:v>728.5</c:v>
                </c:pt>
                <c:pt idx="528">
                  <c:v>813.5</c:v>
                </c:pt>
                <c:pt idx="529">
                  <c:v>865</c:v>
                </c:pt>
                <c:pt idx="530">
                  <c:v>918.5</c:v>
                </c:pt>
                <c:pt idx="531">
                  <c:v>943.75</c:v>
                </c:pt>
                <c:pt idx="532">
                  <c:v>918.5</c:v>
                </c:pt>
                <c:pt idx="533">
                  <c:v>889</c:v>
                </c:pt>
                <c:pt idx="534">
                  <c:v>972</c:v>
                </c:pt>
                <c:pt idx="535">
                  <c:v>941</c:v>
                </c:pt>
                <c:pt idx="536">
                  <c:v>936.5</c:v>
                </c:pt>
                <c:pt idx="537">
                  <c:v>950.75</c:v>
                </c:pt>
                <c:pt idx="538">
                  <c:v>1001.25</c:v>
                </c:pt>
                <c:pt idx="539">
                  <c:v>1044.5</c:v>
                </c:pt>
                <c:pt idx="540">
                  <c:v>1172</c:v>
                </c:pt>
                <c:pt idx="541">
                  <c:v>1104</c:v>
                </c:pt>
                <c:pt idx="542">
                  <c:v>1082.75</c:v>
                </c:pt>
                <c:pt idx="543">
                  <c:v>1112.5</c:v>
                </c:pt>
                <c:pt idx="544">
                  <c:v>1109.5</c:v>
                </c:pt>
                <c:pt idx="545">
                  <c:v>1175.25</c:v>
                </c:pt>
                <c:pt idx="546">
                  <c:v>1214</c:v>
                </c:pt>
                <c:pt idx="547">
                  <c:v>1240.5</c:v>
                </c:pt>
                <c:pt idx="548">
                  <c:v>1168</c:v>
                </c:pt>
                <c:pt idx="549">
                  <c:v>1233.5</c:v>
                </c:pt>
                <c:pt idx="550">
                  <c:v>1311</c:v>
                </c:pt>
                <c:pt idx="551">
                  <c:v>1336.75</c:v>
                </c:pt>
                <c:pt idx="552">
                  <c:v>1375</c:v>
                </c:pt>
                <c:pt idx="553">
                  <c:v>1410.25</c:v>
                </c:pt>
                <c:pt idx="554">
                  <c:v>1333.5</c:v>
                </c:pt>
                <c:pt idx="555">
                  <c:v>1409.75</c:v>
                </c:pt>
                <c:pt idx="556">
                  <c:v>1431</c:v>
                </c:pt>
                <c:pt idx="557">
                  <c:v>1531</c:v>
                </c:pt>
                <c:pt idx="558">
                  <c:v>1537</c:v>
                </c:pt>
                <c:pt idx="559">
                  <c:v>1508</c:v>
                </c:pt>
                <c:pt idx="560">
                  <c:v>1613.75</c:v>
                </c:pt>
                <c:pt idx="561">
                  <c:v>1826</c:v>
                </c:pt>
                <c:pt idx="562">
                  <c:v>1629</c:v>
                </c:pt>
                <c:pt idx="563">
                  <c:v>1718</c:v>
                </c:pt>
                <c:pt idx="564">
                  <c:v>1704</c:v>
                </c:pt>
                <c:pt idx="565">
                  <c:v>1574.5</c:v>
                </c:pt>
                <c:pt idx="566">
                  <c:v>1738</c:v>
                </c:pt>
                <c:pt idx="567">
                  <c:v>1788</c:v>
                </c:pt>
                <c:pt idx="568">
                  <c:v>1660.75</c:v>
                </c:pt>
                <c:pt idx="569">
                  <c:v>1662.5</c:v>
                </c:pt>
                <c:pt idx="570">
                  <c:v>1567.5</c:v>
                </c:pt>
                <c:pt idx="571">
                  <c:v>1569.5</c:v>
                </c:pt>
                <c:pt idx="572">
                  <c:v>1622.75</c:v>
                </c:pt>
                <c:pt idx="573">
                  <c:v>1657.75</c:v>
                </c:pt>
                <c:pt idx="574">
                  <c:v>1781</c:v>
                </c:pt>
                <c:pt idx="575">
                  <c:v>1718</c:v>
                </c:pt>
                <c:pt idx="576">
                  <c:v>1728.25</c:v>
                </c:pt>
                <c:pt idx="577">
                  <c:v>1664</c:v>
                </c:pt>
                <c:pt idx="578">
                  <c:v>1674.5</c:v>
                </c:pt>
                <c:pt idx="579">
                  <c:v>1591</c:v>
                </c:pt>
                <c:pt idx="580">
                  <c:v>1602.5</c:v>
                </c:pt>
                <c:pt idx="581">
                  <c:v>1472.75</c:v>
                </c:pt>
                <c:pt idx="582">
                  <c:v>1410.25</c:v>
                </c:pt>
                <c:pt idx="583">
                  <c:v>1203.25</c:v>
                </c:pt>
                <c:pt idx="584">
                  <c:v>1331.5</c:v>
                </c:pt>
                <c:pt idx="585">
                  <c:v>1392.75</c:v>
                </c:pt>
                <c:pt idx="586">
                  <c:v>1335.75</c:v>
                </c:pt>
                <c:pt idx="587">
                  <c:v>1333.75</c:v>
                </c:pt>
                <c:pt idx="588">
                  <c:v>1245.25</c:v>
                </c:pt>
                <c:pt idx="589">
                  <c:v>1201.5</c:v>
                </c:pt>
                <c:pt idx="590">
                  <c:v>1246.5</c:v>
                </c:pt>
                <c:pt idx="591">
                  <c:v>1327.75</c:v>
                </c:pt>
                <c:pt idx="592">
                  <c:v>1294</c:v>
                </c:pt>
                <c:pt idx="593">
                  <c:v>1292</c:v>
                </c:pt>
                <c:pt idx="594">
                  <c:v>1254</c:v>
                </c:pt>
                <c:pt idx="595">
                  <c:v>1313</c:v>
                </c:pt>
                <c:pt idx="596">
                  <c:v>1295</c:v>
                </c:pt>
                <c:pt idx="597">
                  <c:v>1285.75</c:v>
                </c:pt>
                <c:pt idx="598">
                  <c:v>1210</c:v>
                </c:pt>
                <c:pt idx="599">
                  <c:v>1173.25</c:v>
                </c:pt>
                <c:pt idx="600">
                  <c:v>1184.5</c:v>
                </c:pt>
                <c:pt idx="601">
                  <c:v>1199.25</c:v>
                </c:pt>
                <c:pt idx="602">
                  <c:v>1263.5</c:v>
                </c:pt>
                <c:pt idx="603">
                  <c:v>1205</c:v>
                </c:pt>
                <c:pt idx="604">
                  <c:v>1179.25</c:v>
                </c:pt>
                <c:pt idx="605">
                  <c:v>1204.3</c:v>
                </c:pt>
                <c:pt idx="606">
                  <c:v>1189.8</c:v>
                </c:pt>
                <c:pt idx="607">
                  <c:v>1171.8</c:v>
                </c:pt>
                <c:pt idx="608">
                  <c:v>1095.0999999999999</c:v>
                </c:pt>
                <c:pt idx="609">
                  <c:v>1132.5</c:v>
                </c:pt>
                <c:pt idx="610">
                  <c:v>1115.2</c:v>
                </c:pt>
                <c:pt idx="611">
                  <c:v>1141.4000000000001</c:v>
                </c:pt>
                <c:pt idx="612">
                  <c:v>1065.3</c:v>
                </c:pt>
                <c:pt idx="613">
                  <c:v>1060.2</c:v>
                </c:pt>
                <c:pt idx="614">
                  <c:v>1116.4000000000001</c:v>
                </c:pt>
                <c:pt idx="615">
                  <c:v>1234.4000000000001</c:v>
                </c:pt>
                <c:pt idx="616">
                  <c:v>1235.5999999999999</c:v>
                </c:pt>
                <c:pt idx="617">
                  <c:v>1290.5</c:v>
                </c:pt>
                <c:pt idx="618">
                  <c:v>1217.5</c:v>
                </c:pt>
                <c:pt idx="619">
                  <c:v>1320.6</c:v>
                </c:pt>
                <c:pt idx="620">
                  <c:v>1357.5</c:v>
                </c:pt>
                <c:pt idx="621">
                  <c:v>1311.4</c:v>
                </c:pt>
                <c:pt idx="622">
                  <c:v>1317.1</c:v>
                </c:pt>
                <c:pt idx="623">
                  <c:v>1273.0999999999999</c:v>
                </c:pt>
                <c:pt idx="624">
                  <c:v>1173.9000000000001</c:v>
                </c:pt>
                <c:pt idx="625">
                  <c:v>1151.7</c:v>
                </c:pt>
                <c:pt idx="626">
                  <c:v>1211.4000000000001</c:v>
                </c:pt>
                <c:pt idx="627">
                  <c:v>1253.9000000000001</c:v>
                </c:pt>
                <c:pt idx="628">
                  <c:v>1251.2</c:v>
                </c:pt>
                <c:pt idx="629">
                  <c:v>1268.3</c:v>
                </c:pt>
                <c:pt idx="630">
                  <c:v>1275.4000000000001</c:v>
                </c:pt>
                <c:pt idx="631">
                  <c:v>1242.3</c:v>
                </c:pt>
                <c:pt idx="632">
                  <c:v>1273.4000000000001</c:v>
                </c:pt>
                <c:pt idx="633">
                  <c:v>1322.2</c:v>
                </c:pt>
                <c:pt idx="634">
                  <c:v>1284.8</c:v>
                </c:pt>
                <c:pt idx="635">
                  <c:v>1270.5</c:v>
                </c:pt>
                <c:pt idx="636">
                  <c:v>1282.1500000000001</c:v>
                </c:pt>
                <c:pt idx="637">
                  <c:v>1296.5</c:v>
                </c:pt>
                <c:pt idx="638">
                  <c:v>1343.35</c:v>
                </c:pt>
                <c:pt idx="639">
                  <c:v>1320.3</c:v>
                </c:pt>
                <c:pt idx="640">
                  <c:v>1323.9</c:v>
                </c:pt>
                <c:pt idx="641">
                  <c:v>1316.25</c:v>
                </c:pt>
                <c:pt idx="642">
                  <c:v>1303.5</c:v>
                </c:pt>
                <c:pt idx="643">
                  <c:v>1250.55</c:v>
                </c:pt>
                <c:pt idx="644">
                  <c:v>1219.2</c:v>
                </c:pt>
                <c:pt idx="645">
                  <c:v>1206.8499999999999</c:v>
                </c:pt>
                <c:pt idx="646">
                  <c:v>1183.5</c:v>
                </c:pt>
                <c:pt idx="647">
                  <c:v>1217.7</c:v>
                </c:pt>
                <c:pt idx="648">
                  <c:v>1220.45</c:v>
                </c:pt>
                <c:pt idx="649">
                  <c:v>1281.6500000000001</c:v>
                </c:pt>
                <c:pt idx="650">
                  <c:v>1322.5</c:v>
                </c:pt>
                <c:pt idx="651">
                  <c:v>1325.45</c:v>
                </c:pt>
                <c:pt idx="652">
                  <c:v>1291.1500000000001</c:v>
                </c:pt>
                <c:pt idx="653">
                  <c:v>1285.1500000000001</c:v>
                </c:pt>
                <c:pt idx="654">
                  <c:v>1296</c:v>
                </c:pt>
                <c:pt idx="655">
                  <c:v>1413.2</c:v>
                </c:pt>
                <c:pt idx="656">
                  <c:v>1430.55</c:v>
                </c:pt>
                <c:pt idx="657">
                  <c:v>1526.55</c:v>
                </c:pt>
                <c:pt idx="658">
                  <c:v>1487.6</c:v>
                </c:pt>
                <c:pt idx="659">
                  <c:v>1506.4</c:v>
                </c:pt>
                <c:pt idx="660">
                  <c:v>1456.35</c:v>
                </c:pt>
                <c:pt idx="661">
                  <c:v>1523</c:v>
                </c:pt>
                <c:pt idx="662">
                  <c:v>1580.85</c:v>
                </c:pt>
                <c:pt idx="663">
                  <c:v>1626.35</c:v>
                </c:pt>
                <c:pt idx="664">
                  <c:v>1604.65</c:v>
                </c:pt>
                <c:pt idx="665">
                  <c:v>1716.75</c:v>
                </c:pt>
                <c:pt idx="666">
                  <c:v>1725.65</c:v>
                </c:pt>
                <c:pt idx="667">
                  <c:v>1770.7</c:v>
                </c:pt>
                <c:pt idx="668">
                  <c:v>1971.68</c:v>
                </c:pt>
                <c:pt idx="669">
                  <c:v>1970.5</c:v>
                </c:pt>
                <c:pt idx="670">
                  <c:v>1893.9</c:v>
                </c:pt>
                <c:pt idx="671">
                  <c:v>1879.9</c:v>
                </c:pt>
                <c:pt idx="672">
                  <c:v>1779.86</c:v>
                </c:pt>
                <c:pt idx="673">
                  <c:v>1895.1</c:v>
                </c:pt>
                <c:pt idx="674">
                  <c:v>1849.7</c:v>
                </c:pt>
                <c:pt idx="675">
                  <c:v>1728.8</c:v>
                </c:pt>
                <c:pt idx="676">
                  <c:v>1715.24</c:v>
                </c:pt>
                <c:pt idx="677">
                  <c:v>1767.7</c:v>
                </c:pt>
                <c:pt idx="678">
                  <c:v>1904.74</c:v>
                </c:pt>
                <c:pt idx="679">
                  <c:v>1771.6</c:v>
                </c:pt>
                <c:pt idx="680">
                  <c:v>1814.12</c:v>
                </c:pt>
                <c:pt idx="681">
                  <c:v>1815.8</c:v>
                </c:pt>
                <c:pt idx="682">
                  <c:v>1756.66</c:v>
                </c:pt>
                <c:pt idx="683">
                  <c:v>1783.9</c:v>
                </c:pt>
                <c:pt idx="684">
                  <c:v>1775.92</c:v>
                </c:pt>
                <c:pt idx="685">
                  <c:v>1828.6</c:v>
                </c:pt>
                <c:pt idx="686">
                  <c:v>1796.12</c:v>
                </c:pt>
                <c:pt idx="687">
                  <c:v>1900.7</c:v>
                </c:pt>
                <c:pt idx="688">
                  <c:v>1953.04</c:v>
                </c:pt>
                <c:pt idx="689">
                  <c:v>1911.7</c:v>
                </c:pt>
                <c:pt idx="690">
                  <c:v>1847.26</c:v>
                </c:pt>
                <c:pt idx="691">
                  <c:v>1817.4548</c:v>
                </c:pt>
                <c:pt idx="692">
                  <c:v>1766.4309000000001</c:v>
                </c:pt>
                <c:pt idx="693">
                  <c:v>1708.58</c:v>
                </c:pt>
                <c:pt idx="694">
                  <c:v>1660.8798999999999</c:v>
                </c:pt>
                <c:pt idx="695">
                  <c:v>1632.38</c:v>
                </c:pt>
                <c:pt idx="696">
                  <c:v>1768.61</c:v>
                </c:pt>
                <c:pt idx="697">
                  <c:v>1824.3233</c:v>
                </c:pt>
                <c:pt idx="698">
                  <c:v>1928.1201000000001</c:v>
                </c:pt>
                <c:pt idx="699">
                  <c:v>1826.7403999999999</c:v>
                </c:pt>
                <c:pt idx="700">
                  <c:v>1969.5459000000001</c:v>
                </c:pt>
                <c:pt idx="701">
                  <c:v>1990.6</c:v>
                </c:pt>
                <c:pt idx="702">
                  <c:v>1965.2</c:v>
                </c:pt>
                <c:pt idx="703">
                  <c:v>1919.5693000000001</c:v>
                </c:pt>
                <c:pt idx="704">
                  <c:v>1964.3387</c:v>
                </c:pt>
                <c:pt idx="705">
                  <c:v>1939.8280999999999</c:v>
                </c:pt>
                <c:pt idx="706">
                  <c:v>1848.4898000000001</c:v>
                </c:pt>
                <c:pt idx="707">
                  <c:v>1984.0109</c:v>
                </c:pt>
                <c:pt idx="708">
                  <c:v>2044.8957</c:v>
                </c:pt>
                <c:pt idx="709">
                  <c:v>2062.9232999999999</c:v>
                </c:pt>
                <c:pt idx="710">
                  <c:v>2039.1538</c:v>
                </c:pt>
                <c:pt idx="711">
                  <c:v>2044.1996999999999</c:v>
                </c:pt>
                <c:pt idx="712">
                  <c:v>2231.5551</c:v>
                </c:pt>
                <c:pt idx="713">
                  <c:v>2285.9886000000001</c:v>
                </c:pt>
                <c:pt idx="714">
                  <c:v>2327.2836000000002</c:v>
                </c:pt>
                <c:pt idx="715">
                  <c:v>2326.7177000000001</c:v>
                </c:pt>
                <c:pt idx="716">
                  <c:v>2409.6864999999998</c:v>
                </c:pt>
                <c:pt idx="717">
                  <c:v>2503.3796000000002</c:v>
                </c:pt>
                <c:pt idx="718">
                  <c:v>2664.4142999999999</c:v>
                </c:pt>
                <c:pt idx="719">
                  <c:v>2746.7019</c:v>
                </c:pt>
                <c:pt idx="720">
                  <c:v>2651.2469999999998</c:v>
                </c:pt>
                <c:pt idx="721">
                  <c:v>2624.6030000000001</c:v>
                </c:pt>
                <c:pt idx="722">
                  <c:v>2798.1968000000002</c:v>
                </c:pt>
                <c:pt idx="723">
                  <c:v>2876.2080000000001</c:v>
                </c:pt>
                <c:pt idx="724">
                  <c:v>3086.3434999999999</c:v>
                </c:pt>
                <c:pt idx="725">
                  <c:v>3273.5046000000002</c:v>
                </c:pt>
                <c:pt idx="726">
                  <c:v>3289.5547999999999</c:v>
                </c:pt>
                <c:pt idx="727">
                  <c:v>3266.4101000000001</c:v>
                </c:pt>
                <c:pt idx="728">
                  <c:v>3285.7772</c:v>
                </c:pt>
                <c:pt idx="729">
                  <c:v>3415.7671999999998</c:v>
                </c:pt>
                <c:pt idx="730">
                  <c:v>3836.2341999999999</c:v>
                </c:pt>
                <c:pt idx="731">
                  <c:v>4002.7698999999998</c:v>
                </c:pt>
                <c:pt idx="732">
                  <c:v>4001.2804000000001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BF-4949-B944-9CD9BFBD8AC2}"/>
            </c:ext>
          </c:extLst>
        </c:ser>
        <c:ser>
          <c:idx val="2"/>
          <c:order val="2"/>
          <c:tx>
            <c:v>Bretton Woods end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Sheet1!$E$2:$E$5</c:f>
              <c:numCache>
                <c:formatCode>m/d/yy</c:formatCode>
                <c:ptCount val="4"/>
                <c:pt idx="0">
                  <c:v>26160</c:v>
                </c:pt>
                <c:pt idx="1">
                  <c:v>26161</c:v>
                </c:pt>
                <c:pt idx="2">
                  <c:v>26162</c:v>
                </c:pt>
                <c:pt idx="3">
                  <c:v>26163</c:v>
                </c:pt>
              </c:numCache>
            </c:numRef>
          </c:xVal>
          <c:yVal>
            <c:numRef>
              <c:f>Sheet1!$F$2:$F$5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BF-4949-B944-9CD9BFBD8AC2}"/>
            </c:ext>
          </c:extLst>
        </c:ser>
        <c:ser>
          <c:idx val="5"/>
          <c:order val="5"/>
          <c:tx>
            <c:v>US inflation rate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Sheet1!$J$2:$J$66</c:f>
              <c:numCache>
                <c:formatCode>m/d/yy</c:formatCode>
                <c:ptCount val="65"/>
                <c:pt idx="0">
                  <c:v>22281</c:v>
                </c:pt>
                <c:pt idx="1">
                  <c:v>22646</c:v>
                </c:pt>
                <c:pt idx="2">
                  <c:v>23011</c:v>
                </c:pt>
                <c:pt idx="3">
                  <c:v>23376</c:v>
                </c:pt>
                <c:pt idx="4">
                  <c:v>23742</c:v>
                </c:pt>
                <c:pt idx="5">
                  <c:v>24107</c:v>
                </c:pt>
                <c:pt idx="6">
                  <c:v>24472</c:v>
                </c:pt>
                <c:pt idx="7">
                  <c:v>24837</c:v>
                </c:pt>
                <c:pt idx="8">
                  <c:v>25203</c:v>
                </c:pt>
                <c:pt idx="9">
                  <c:v>25568</c:v>
                </c:pt>
                <c:pt idx="10">
                  <c:v>25933</c:v>
                </c:pt>
                <c:pt idx="11">
                  <c:v>26298</c:v>
                </c:pt>
                <c:pt idx="12">
                  <c:v>26664</c:v>
                </c:pt>
                <c:pt idx="13">
                  <c:v>27029</c:v>
                </c:pt>
                <c:pt idx="14">
                  <c:v>27394</c:v>
                </c:pt>
                <c:pt idx="15">
                  <c:v>27759</c:v>
                </c:pt>
                <c:pt idx="16">
                  <c:v>28125</c:v>
                </c:pt>
                <c:pt idx="17">
                  <c:v>28490</c:v>
                </c:pt>
                <c:pt idx="18">
                  <c:v>28855</c:v>
                </c:pt>
                <c:pt idx="19">
                  <c:v>29220</c:v>
                </c:pt>
                <c:pt idx="20">
                  <c:v>29586</c:v>
                </c:pt>
                <c:pt idx="21">
                  <c:v>29951</c:v>
                </c:pt>
                <c:pt idx="22">
                  <c:v>30316</c:v>
                </c:pt>
                <c:pt idx="23">
                  <c:v>30681</c:v>
                </c:pt>
                <c:pt idx="24">
                  <c:v>31047</c:v>
                </c:pt>
                <c:pt idx="25">
                  <c:v>31412</c:v>
                </c:pt>
                <c:pt idx="26">
                  <c:v>31777</c:v>
                </c:pt>
                <c:pt idx="27">
                  <c:v>32142</c:v>
                </c:pt>
                <c:pt idx="28">
                  <c:v>32508</c:v>
                </c:pt>
                <c:pt idx="29">
                  <c:v>32873</c:v>
                </c:pt>
                <c:pt idx="30">
                  <c:v>33238</c:v>
                </c:pt>
                <c:pt idx="31">
                  <c:v>33603</c:v>
                </c:pt>
                <c:pt idx="32">
                  <c:v>33969</c:v>
                </c:pt>
                <c:pt idx="33">
                  <c:v>34334</c:v>
                </c:pt>
                <c:pt idx="34">
                  <c:v>34699</c:v>
                </c:pt>
                <c:pt idx="35">
                  <c:v>35064</c:v>
                </c:pt>
                <c:pt idx="36">
                  <c:v>35430</c:v>
                </c:pt>
                <c:pt idx="37">
                  <c:v>35795</c:v>
                </c:pt>
                <c:pt idx="38">
                  <c:v>36160</c:v>
                </c:pt>
                <c:pt idx="39">
                  <c:v>36525</c:v>
                </c:pt>
                <c:pt idx="40">
                  <c:v>36891</c:v>
                </c:pt>
                <c:pt idx="41">
                  <c:v>37256</c:v>
                </c:pt>
                <c:pt idx="42">
                  <c:v>37621</c:v>
                </c:pt>
                <c:pt idx="43">
                  <c:v>37986</c:v>
                </c:pt>
                <c:pt idx="44">
                  <c:v>38352</c:v>
                </c:pt>
                <c:pt idx="45">
                  <c:v>38717</c:v>
                </c:pt>
                <c:pt idx="46">
                  <c:v>39082</c:v>
                </c:pt>
                <c:pt idx="47">
                  <c:v>39447</c:v>
                </c:pt>
                <c:pt idx="48">
                  <c:v>39813</c:v>
                </c:pt>
                <c:pt idx="49">
                  <c:v>40178</c:v>
                </c:pt>
                <c:pt idx="50">
                  <c:v>40543</c:v>
                </c:pt>
                <c:pt idx="51">
                  <c:v>40908</c:v>
                </c:pt>
                <c:pt idx="52">
                  <c:v>41274</c:v>
                </c:pt>
                <c:pt idx="53">
                  <c:v>41639</c:v>
                </c:pt>
                <c:pt idx="54">
                  <c:v>42004</c:v>
                </c:pt>
                <c:pt idx="55">
                  <c:v>42369</c:v>
                </c:pt>
                <c:pt idx="56">
                  <c:v>42735</c:v>
                </c:pt>
                <c:pt idx="57">
                  <c:v>43100</c:v>
                </c:pt>
                <c:pt idx="58">
                  <c:v>43465</c:v>
                </c:pt>
                <c:pt idx="59">
                  <c:v>43830</c:v>
                </c:pt>
                <c:pt idx="60">
                  <c:v>44196</c:v>
                </c:pt>
                <c:pt idx="61">
                  <c:v>44561</c:v>
                </c:pt>
                <c:pt idx="62">
                  <c:v>44926</c:v>
                </c:pt>
                <c:pt idx="63">
                  <c:v>45291</c:v>
                </c:pt>
                <c:pt idx="64">
                  <c:v>45657</c:v>
                </c:pt>
              </c:numCache>
            </c:numRef>
          </c:xVal>
          <c:yVal>
            <c:numRef>
              <c:f>Sheet1!$M$2:$M$66</c:f>
              <c:numCache>
                <c:formatCode>General</c:formatCode>
                <c:ptCount val="65"/>
                <c:pt idx="0">
                  <c:v>101.46</c:v>
                </c:pt>
                <c:pt idx="1">
                  <c:v>102.54562199999999</c:v>
                </c:pt>
                <c:pt idx="2">
                  <c:v>103.77616946399999</c:v>
                </c:pt>
                <c:pt idx="3">
                  <c:v>105.06299396535358</c:v>
                </c:pt>
                <c:pt idx="4">
                  <c:v>106.4078002881101</c:v>
                </c:pt>
                <c:pt idx="5">
                  <c:v>108.09968431269105</c:v>
                </c:pt>
                <c:pt idx="6">
                  <c:v>111.36429477893432</c:v>
                </c:pt>
                <c:pt idx="7">
                  <c:v>114.44908574431081</c:v>
                </c:pt>
                <c:pt idx="8">
                  <c:v>119.33606170559288</c:v>
                </c:pt>
                <c:pt idx="9">
                  <c:v>125.85181067471825</c:v>
                </c:pt>
                <c:pt idx="10">
                  <c:v>133.20155641812178</c:v>
                </c:pt>
                <c:pt idx="11">
                  <c:v>138.91590318845923</c:v>
                </c:pt>
                <c:pt idx="12">
                  <c:v>143.45845322272183</c:v>
                </c:pt>
                <c:pt idx="13">
                  <c:v>152.32418563188605</c:v>
                </c:pt>
                <c:pt idx="14">
                  <c:v>169.15600814420947</c:v>
                </c:pt>
                <c:pt idx="15">
                  <c:v>184.61686728859021</c:v>
                </c:pt>
                <c:pt idx="16">
                  <c:v>195.21387547095529</c:v>
                </c:pt>
                <c:pt idx="17">
                  <c:v>207.90277737656737</c:v>
                </c:pt>
                <c:pt idx="18">
                  <c:v>223.76575929039947</c:v>
                </c:pt>
                <c:pt idx="19">
                  <c:v>248.93940721056941</c:v>
                </c:pt>
                <c:pt idx="20">
                  <c:v>282.67069688760154</c:v>
                </c:pt>
                <c:pt idx="21">
                  <c:v>311.8705798760908</c:v>
                </c:pt>
                <c:pt idx="22">
                  <c:v>330.98824642249514</c:v>
                </c:pt>
                <c:pt idx="23">
                  <c:v>341.61296913265721</c:v>
                </c:pt>
                <c:pt idx="24">
                  <c:v>356.30232680536147</c:v>
                </c:pt>
                <c:pt idx="25">
                  <c:v>368.95105940695174</c:v>
                </c:pt>
                <c:pt idx="26">
                  <c:v>375.96112953568388</c:v>
                </c:pt>
                <c:pt idx="27">
                  <c:v>389.72130687668988</c:v>
                </c:pt>
                <c:pt idx="28">
                  <c:v>405.62193619725872</c:v>
                </c:pt>
                <c:pt idx="29">
                  <c:v>425.2134757155863</c:v>
                </c:pt>
                <c:pt idx="30">
                  <c:v>448.17500340422799</c:v>
                </c:pt>
                <c:pt idx="31">
                  <c:v>467.13280604822688</c:v>
                </c:pt>
                <c:pt idx="32">
                  <c:v>481.28693007148814</c:v>
                </c:pt>
                <c:pt idx="33">
                  <c:v>495.48489450859705</c:v>
                </c:pt>
                <c:pt idx="34">
                  <c:v>508.41705025527142</c:v>
                </c:pt>
                <c:pt idx="35">
                  <c:v>522.70356936744463</c:v>
                </c:pt>
                <c:pt idx="36">
                  <c:v>538.01878394991081</c:v>
                </c:pt>
                <c:pt idx="37">
                  <c:v>550.60842349433881</c:v>
                </c:pt>
                <c:pt idx="38">
                  <c:v>559.14285405850114</c:v>
                </c:pt>
                <c:pt idx="39">
                  <c:v>571.38808256238235</c:v>
                </c:pt>
                <c:pt idx="40">
                  <c:v>590.70099975299092</c:v>
                </c:pt>
                <c:pt idx="41">
                  <c:v>607.41783804600061</c:v>
                </c:pt>
                <c:pt idx="42">
                  <c:v>617.07578167093197</c:v>
                </c:pt>
                <c:pt idx="43">
                  <c:v>631.08340191486207</c:v>
                </c:pt>
                <c:pt idx="44">
                  <c:v>647.99643708618055</c:v>
                </c:pt>
                <c:pt idx="45">
                  <c:v>669.96351630340212</c:v>
                </c:pt>
                <c:pt idx="46">
                  <c:v>691.60333788000196</c:v>
                </c:pt>
                <c:pt idx="47">
                  <c:v>711.31403300958198</c:v>
                </c:pt>
                <c:pt idx="48">
                  <c:v>738.62849187714983</c:v>
                </c:pt>
                <c:pt idx="49">
                  <c:v>735.96942930639204</c:v>
                </c:pt>
                <c:pt idx="50">
                  <c:v>748.03932794701689</c:v>
                </c:pt>
                <c:pt idx="51">
                  <c:v>771.67737071014267</c:v>
                </c:pt>
                <c:pt idx="52">
                  <c:v>787.65109228384256</c:v>
                </c:pt>
                <c:pt idx="53">
                  <c:v>799.15079823118663</c:v>
                </c:pt>
                <c:pt idx="54">
                  <c:v>812.09704116253181</c:v>
                </c:pt>
                <c:pt idx="55">
                  <c:v>813.07155761192701</c:v>
                </c:pt>
                <c:pt idx="56">
                  <c:v>823.31625923783724</c:v>
                </c:pt>
                <c:pt idx="57">
                  <c:v>840.8528955596031</c:v>
                </c:pt>
                <c:pt idx="58">
                  <c:v>861.36970621125749</c:v>
                </c:pt>
                <c:pt idx="59">
                  <c:v>876.96049789368112</c:v>
                </c:pt>
                <c:pt idx="60">
                  <c:v>887.74711201777347</c:v>
                </c:pt>
                <c:pt idx="61">
                  <c:v>929.47122628260865</c:v>
                </c:pt>
                <c:pt idx="62">
                  <c:v>1003.8289243852174</c:v>
                </c:pt>
                <c:pt idx="63">
                  <c:v>1045.1866760698886</c:v>
                </c:pt>
                <c:pt idx="64">
                  <c:v>1076.0196830139505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0BF-4949-B944-9CD9BFBD8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657216"/>
        <c:axId val="680663104"/>
      </c:scatterChart>
      <c:dateAx>
        <c:axId val="68065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663104"/>
        <c:crossesAt val="0"/>
        <c:auto val="1"/>
        <c:lblOffset val="100"/>
        <c:baseTimeUnit val="months"/>
      </c:dateAx>
      <c:valAx>
        <c:axId val="680663104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65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Sheet2!$J$4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Sheet2!$I$6:$I$17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Sheet2!$J$6:$J$17</c:f>
              <c:numCache>
                <c:formatCode>General</c:formatCode>
                <c:ptCount val="12"/>
                <c:pt idx="0">
                  <c:v>0.90105871174989061</c:v>
                </c:pt>
                <c:pt idx="1">
                  <c:v>0.85642541511454295</c:v>
                </c:pt>
                <c:pt idx="2">
                  <c:v>0.74488771594644043</c:v>
                </c:pt>
                <c:pt idx="3">
                  <c:v>0.78840930982929336</c:v>
                </c:pt>
                <c:pt idx="4">
                  <c:v>0.76751663800194425</c:v>
                </c:pt>
                <c:pt idx="5">
                  <c:v>0.70493839233951872</c:v>
                </c:pt>
                <c:pt idx="6">
                  <c:v>0.68101927809680063</c:v>
                </c:pt>
                <c:pt idx="7">
                  <c:v>0.67414376538146015</c:v>
                </c:pt>
                <c:pt idx="8">
                  <c:v>0.60093314191960623</c:v>
                </c:pt>
                <c:pt idx="9">
                  <c:v>0.64885683261194138</c:v>
                </c:pt>
                <c:pt idx="10">
                  <c:v>0.57896225134601165</c:v>
                </c:pt>
                <c:pt idx="11">
                  <c:v>0.59459408508905542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4-1A45-A825-8A01EC45DB36}"/>
            </c:ext>
          </c:extLst>
        </c:ser>
        <c:ser>
          <c:idx val="1"/>
          <c:order val="1"/>
          <c:tx>
            <c:strRef>
              <c:f>Sheet2!$K$4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Sheet2!$I$6:$I$17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Sheet2!$K$6:$K$17</c:f>
              <c:numCache>
                <c:formatCode>General</c:formatCode>
                <c:ptCount val="12"/>
                <c:pt idx="0">
                  <c:v>1.1664994984954864</c:v>
                </c:pt>
                <c:pt idx="1">
                  <c:v>1.2203276496155131</c:v>
                </c:pt>
                <c:pt idx="2">
                  <c:v>1.2902621722846441</c:v>
                </c:pt>
                <c:pt idx="3">
                  <c:v>1.3129388164493481</c:v>
                </c:pt>
                <c:pt idx="4">
                  <c:v>1.3891675025075225</c:v>
                </c:pt>
                <c:pt idx="5">
                  <c:v>1.4546974256101637</c:v>
                </c:pt>
                <c:pt idx="6">
                  <c:v>1.3906720160481445</c:v>
                </c:pt>
                <c:pt idx="7">
                  <c:v>1.4063135366506152</c:v>
                </c:pt>
                <c:pt idx="8">
                  <c:v>1.4095238095238094</c:v>
                </c:pt>
                <c:pt idx="9">
                  <c:v>1.4525949705724988</c:v>
                </c:pt>
                <c:pt idx="10">
                  <c:v>1.5214918661552703</c:v>
                </c:pt>
                <c:pt idx="11">
                  <c:v>1.8558528565369476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C4-1A45-A825-8A01EC45DB36}"/>
            </c:ext>
          </c:extLst>
        </c:ser>
        <c:ser>
          <c:idx val="2"/>
          <c:order val="2"/>
          <c:tx>
            <c:strRef>
              <c:f>Sheet2!$L$4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Sheet2!$I$6:$I$17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Sheet2!$L$6:$L$17</c:f>
              <c:numCache>
                <c:formatCode>General</c:formatCode>
                <c:ptCount val="12"/>
                <c:pt idx="0">
                  <c:v>1.0291822034316889</c:v>
                </c:pt>
                <c:pt idx="1">
                  <c:v>1.0366569996540318</c:v>
                </c:pt>
                <c:pt idx="2">
                  <c:v>1.0322650220038936</c:v>
                </c:pt>
                <c:pt idx="3">
                  <c:v>1.0621671147213034</c:v>
                </c:pt>
                <c:pt idx="4">
                  <c:v>1.0781925852611467</c:v>
                </c:pt>
                <c:pt idx="5">
                  <c:v>1.1024533186574796</c:v>
                </c:pt>
                <c:pt idx="6">
                  <c:v>1.1153716573275512</c:v>
                </c:pt>
                <c:pt idx="7">
                  <c:v>1.1248895014442242</c:v>
                </c:pt>
                <c:pt idx="8">
                  <c:v>1.1305739173571416</c:v>
                </c:pt>
                <c:pt idx="9">
                  <c:v>1.1346386174366816</c:v>
                </c:pt>
                <c:pt idx="10">
                  <c:v>1.135656675583367</c:v>
                </c:pt>
                <c:pt idx="11">
                  <c:v>1.154534911484804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C4-1A45-A825-8A01EC45D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494208"/>
        <c:axId val="1701495936"/>
      </c:lineChart>
      <c:catAx>
        <c:axId val="170149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95936"/>
        <c:crosses val="autoZero"/>
        <c:auto val="1"/>
        <c:lblAlgn val="ctr"/>
        <c:lblOffset val="100"/>
        <c:noMultiLvlLbl val="0"/>
      </c:catAx>
      <c:valAx>
        <c:axId val="17014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9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26498</xdr:colOff>
      <xdr:row>4</xdr:row>
      <xdr:rowOff>98620</xdr:rowOff>
    </xdr:from>
    <xdr:to>
      <xdr:col>22</xdr:col>
      <xdr:colOff>533086</xdr:colOff>
      <xdr:row>50</xdr:row>
      <xdr:rowOff>94074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E97300-16C1-184A-84F2-6C45FCB0C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3</xdr:row>
      <xdr:rowOff>114300</xdr:rowOff>
    </xdr:from>
    <xdr:to>
      <xdr:col>18</xdr:col>
      <xdr:colOff>546100</xdr:colOff>
      <xdr:row>16</xdr:row>
      <xdr:rowOff>203200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9857BF-C440-2A7D-C4E2-DCB7223B8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17FA-100E-B645-B53E-814CE5C296F4}">
  <dimension ref="A1:M1333"/>
  <sheetViews>
    <sheetView zoomScale="81" workbookViewId="0">
      <selection activeCell="AC22" sqref="AC22"/>
    </sheetView>
  </sheetViews>
  <sheetFormatPr baseColWidth="10" defaultRowHeight="16" x14ac:dyDescent="0.2"/>
  <cols>
    <col min="1" max="1" width="7.5" bestFit="1" customWidth="1"/>
    <col min="2" max="2" width="10.1640625" bestFit="1" customWidth="1"/>
    <col min="3" max="3" width="8.5" bestFit="1" customWidth="1"/>
    <col min="4" max="4" width="8.1640625" bestFit="1" customWidth="1"/>
    <col min="5" max="5" width="21.1640625" style="4" bestFit="1" customWidth="1"/>
    <col min="6" max="6" width="9.83203125" bestFit="1" customWidth="1"/>
    <col min="7" max="7" width="15.83203125" bestFit="1" customWidth="1"/>
  </cols>
  <sheetData>
    <row r="1" spans="1:13" x14ac:dyDescent="0.2">
      <c r="A1" s="1" t="s">
        <v>0</v>
      </c>
      <c r="B1" s="1" t="s">
        <v>2</v>
      </c>
      <c r="C1" s="1" t="s">
        <v>0</v>
      </c>
      <c r="D1" s="1" t="s">
        <v>1</v>
      </c>
      <c r="E1" s="4" t="s">
        <v>3</v>
      </c>
      <c r="F1" s="1" t="s">
        <v>4</v>
      </c>
      <c r="G1" s="1" t="s">
        <v>5</v>
      </c>
      <c r="H1" s="1" t="s">
        <v>6</v>
      </c>
      <c r="J1" s="6"/>
      <c r="K1" s="1" t="s">
        <v>7</v>
      </c>
      <c r="L1" s="4" t="s">
        <v>8</v>
      </c>
      <c r="M1" s="4" t="s">
        <v>9</v>
      </c>
    </row>
    <row r="2" spans="1:13" x14ac:dyDescent="0.2">
      <c r="A2" s="2">
        <v>5480</v>
      </c>
      <c r="B2" s="3">
        <v>19.25</v>
      </c>
      <c r="E2" s="5">
        <v>26160</v>
      </c>
      <c r="F2">
        <v>10</v>
      </c>
      <c r="G2">
        <f>IF(AND(A2&gt;=DATE(1973,1,1), A2&lt;=DATE(1982,12,31)), 10000, 10)</f>
        <v>10</v>
      </c>
      <c r="H2">
        <f>IF(AND(A2&gt;=DATE(1983,1,1), A2&lt;=DATE(2007,12,31)), 10000, 10)</f>
        <v>10</v>
      </c>
      <c r="J2" s="2">
        <v>22281</v>
      </c>
      <c r="K2" s="3">
        <v>1.46</v>
      </c>
      <c r="L2">
        <f>(K2+100)/100</f>
        <v>1.0145999999999999</v>
      </c>
      <c r="M2">
        <f>100 * PRODUCT(L$2:L2)</f>
        <v>101.46</v>
      </c>
    </row>
    <row r="3" spans="1:13" x14ac:dyDescent="0.2">
      <c r="A3" s="2">
        <v>5511</v>
      </c>
      <c r="B3" s="3">
        <v>19.25</v>
      </c>
      <c r="E3" s="5">
        <v>26161</v>
      </c>
      <c r="F3">
        <v>100</v>
      </c>
      <c r="G3">
        <f t="shared" ref="G3:G66" si="0">IF(AND(A3&gt;=DATE(1973,1,1), A3&lt;=DATE(1982,12,31)), 10000, 10)</f>
        <v>10</v>
      </c>
      <c r="H3">
        <f t="shared" ref="H3:H66" si="1">IF(AND(A3&gt;=DATE(1983,1,1), A3&lt;=DATE(2007,12,31)), 10000, 10)</f>
        <v>10</v>
      </c>
      <c r="J3" s="2">
        <v>22646</v>
      </c>
      <c r="K3" s="3">
        <v>1.07</v>
      </c>
      <c r="L3">
        <f t="shared" ref="L3:L66" si="2">(K3+100)/100</f>
        <v>1.0106999999999999</v>
      </c>
      <c r="M3">
        <f>100 * PRODUCT(L$2:L3)</f>
        <v>102.54562199999999</v>
      </c>
    </row>
    <row r="4" spans="1:13" x14ac:dyDescent="0.2">
      <c r="A4" s="2">
        <v>5539</v>
      </c>
      <c r="B4" s="3">
        <v>19.25</v>
      </c>
      <c r="E4" s="5">
        <v>26162</v>
      </c>
      <c r="F4">
        <v>1000</v>
      </c>
      <c r="G4">
        <f t="shared" si="0"/>
        <v>10</v>
      </c>
      <c r="H4">
        <f t="shared" si="1"/>
        <v>10</v>
      </c>
      <c r="J4" s="2">
        <v>23011</v>
      </c>
      <c r="K4" s="3">
        <v>1.2</v>
      </c>
      <c r="L4">
        <f t="shared" si="2"/>
        <v>1.012</v>
      </c>
      <c r="M4">
        <f>100 * PRODUCT(L$2:L4)</f>
        <v>103.77616946399999</v>
      </c>
    </row>
    <row r="5" spans="1:13" x14ac:dyDescent="0.2">
      <c r="A5" s="2">
        <v>5570</v>
      </c>
      <c r="B5" s="3">
        <v>19.25</v>
      </c>
      <c r="E5" s="5">
        <v>26163</v>
      </c>
      <c r="F5">
        <v>10000</v>
      </c>
      <c r="G5">
        <f t="shared" si="0"/>
        <v>10</v>
      </c>
      <c r="H5">
        <f t="shared" si="1"/>
        <v>10</v>
      </c>
      <c r="J5" s="2">
        <v>23376</v>
      </c>
      <c r="K5" s="3">
        <v>1.24</v>
      </c>
      <c r="L5">
        <f t="shared" si="2"/>
        <v>1.0124</v>
      </c>
      <c r="M5">
        <f>100 * PRODUCT(L$2:L5)</f>
        <v>105.06299396535358</v>
      </c>
    </row>
    <row r="6" spans="1:13" x14ac:dyDescent="0.2">
      <c r="A6" s="2">
        <v>5600</v>
      </c>
      <c r="B6" s="3">
        <v>19.25</v>
      </c>
      <c r="E6" s="5"/>
      <c r="G6">
        <f t="shared" si="0"/>
        <v>10</v>
      </c>
      <c r="H6">
        <f t="shared" si="1"/>
        <v>10</v>
      </c>
      <c r="J6" s="2">
        <v>23742</v>
      </c>
      <c r="K6" s="3">
        <v>1.28</v>
      </c>
      <c r="L6">
        <f t="shared" si="2"/>
        <v>1.0127999999999999</v>
      </c>
      <c r="M6">
        <f>100 * PRODUCT(L$2:L6)</f>
        <v>106.4078002881101</v>
      </c>
    </row>
    <row r="7" spans="1:13" x14ac:dyDescent="0.2">
      <c r="A7" s="2">
        <v>5631</v>
      </c>
      <c r="B7" s="3">
        <v>19.25</v>
      </c>
      <c r="E7" s="5"/>
      <c r="G7">
        <f t="shared" si="0"/>
        <v>10</v>
      </c>
      <c r="H7">
        <f t="shared" si="1"/>
        <v>10</v>
      </c>
      <c r="J7" s="2">
        <v>24107</v>
      </c>
      <c r="K7" s="3">
        <v>1.59</v>
      </c>
      <c r="L7">
        <f t="shared" si="2"/>
        <v>1.0159</v>
      </c>
      <c r="M7">
        <f>100 * PRODUCT(L$2:L7)</f>
        <v>108.09968431269105</v>
      </c>
    </row>
    <row r="8" spans="1:13" x14ac:dyDescent="0.2">
      <c r="A8" s="2">
        <v>5661</v>
      </c>
      <c r="B8" s="3">
        <v>19.25</v>
      </c>
      <c r="G8">
        <f t="shared" si="0"/>
        <v>10</v>
      </c>
      <c r="H8">
        <f t="shared" si="1"/>
        <v>10</v>
      </c>
      <c r="J8" s="2">
        <v>24472</v>
      </c>
      <c r="K8" s="3">
        <v>3.02</v>
      </c>
      <c r="L8">
        <f t="shared" si="2"/>
        <v>1.0302</v>
      </c>
      <c r="M8">
        <f>100 * PRODUCT(L$2:L8)</f>
        <v>111.36429477893432</v>
      </c>
    </row>
    <row r="9" spans="1:13" x14ac:dyDescent="0.2">
      <c r="A9" s="2">
        <v>5692</v>
      </c>
      <c r="B9" s="3">
        <v>19.25</v>
      </c>
      <c r="G9">
        <f t="shared" si="0"/>
        <v>10</v>
      </c>
      <c r="H9">
        <f t="shared" si="1"/>
        <v>10</v>
      </c>
      <c r="J9" s="2">
        <v>24837</v>
      </c>
      <c r="K9" s="3">
        <v>2.77</v>
      </c>
      <c r="L9">
        <f t="shared" si="2"/>
        <v>1.0277000000000001</v>
      </c>
      <c r="M9">
        <f>100 * PRODUCT(L$2:L9)</f>
        <v>114.44908574431081</v>
      </c>
    </row>
    <row r="10" spans="1:13" x14ac:dyDescent="0.2">
      <c r="A10" s="2">
        <v>5723</v>
      </c>
      <c r="B10" s="3">
        <v>19.25</v>
      </c>
      <c r="G10">
        <f t="shared" si="0"/>
        <v>10</v>
      </c>
      <c r="H10">
        <f t="shared" si="1"/>
        <v>10</v>
      </c>
      <c r="J10" s="2">
        <v>25203</v>
      </c>
      <c r="K10" s="3">
        <v>4.2699999999999996</v>
      </c>
      <c r="L10">
        <f t="shared" si="2"/>
        <v>1.0427</v>
      </c>
      <c r="M10">
        <f>100 * PRODUCT(L$2:L10)</f>
        <v>119.33606170559288</v>
      </c>
    </row>
    <row r="11" spans="1:13" x14ac:dyDescent="0.2">
      <c r="A11" s="2">
        <v>5753</v>
      </c>
      <c r="B11" s="3">
        <v>19.25</v>
      </c>
      <c r="G11">
        <f t="shared" si="0"/>
        <v>10</v>
      </c>
      <c r="H11">
        <f t="shared" si="1"/>
        <v>10</v>
      </c>
      <c r="J11" s="2">
        <v>25568</v>
      </c>
      <c r="K11" s="3">
        <v>5.46</v>
      </c>
      <c r="L11">
        <f t="shared" si="2"/>
        <v>1.0546</v>
      </c>
      <c r="M11">
        <f>100 * PRODUCT(L$2:L11)</f>
        <v>125.85181067471825</v>
      </c>
    </row>
    <row r="12" spans="1:13" x14ac:dyDescent="0.2">
      <c r="A12" s="2">
        <v>5784</v>
      </c>
      <c r="B12" s="3">
        <v>19.25</v>
      </c>
      <c r="G12">
        <f t="shared" si="0"/>
        <v>10</v>
      </c>
      <c r="H12">
        <f t="shared" si="1"/>
        <v>10</v>
      </c>
      <c r="J12" s="2">
        <v>25933</v>
      </c>
      <c r="K12" s="3">
        <v>5.84</v>
      </c>
      <c r="L12">
        <f t="shared" si="2"/>
        <v>1.0584</v>
      </c>
      <c r="M12">
        <f>100 * PRODUCT(L$2:L12)</f>
        <v>133.20155641812178</v>
      </c>
    </row>
    <row r="13" spans="1:13" x14ac:dyDescent="0.2">
      <c r="A13" s="2">
        <v>5814</v>
      </c>
      <c r="B13" s="3">
        <v>19.25</v>
      </c>
      <c r="G13">
        <f t="shared" si="0"/>
        <v>10</v>
      </c>
      <c r="H13">
        <f t="shared" si="1"/>
        <v>10</v>
      </c>
      <c r="J13" s="2">
        <v>26298</v>
      </c>
      <c r="K13" s="3">
        <v>4.29</v>
      </c>
      <c r="L13">
        <f t="shared" si="2"/>
        <v>1.0429000000000002</v>
      </c>
      <c r="M13">
        <f>100 * PRODUCT(L$2:L13)</f>
        <v>138.91590318845923</v>
      </c>
    </row>
    <row r="14" spans="1:13" x14ac:dyDescent="0.2">
      <c r="A14" s="2">
        <v>5845</v>
      </c>
      <c r="B14" s="3">
        <v>19.47</v>
      </c>
      <c r="G14">
        <f t="shared" si="0"/>
        <v>10</v>
      </c>
      <c r="H14">
        <f t="shared" si="1"/>
        <v>10</v>
      </c>
      <c r="J14" s="2">
        <v>26664</v>
      </c>
      <c r="K14" s="3">
        <v>3.27</v>
      </c>
      <c r="L14">
        <f t="shared" si="2"/>
        <v>1.0327</v>
      </c>
      <c r="M14">
        <f>100 * PRODUCT(L$2:L14)</f>
        <v>143.45845322272183</v>
      </c>
    </row>
    <row r="15" spans="1:13" x14ac:dyDescent="0.2">
      <c r="A15" s="2">
        <v>5876</v>
      </c>
      <c r="B15" s="3">
        <v>19.47</v>
      </c>
      <c r="G15">
        <f t="shared" si="0"/>
        <v>10</v>
      </c>
      <c r="H15">
        <f t="shared" si="1"/>
        <v>10</v>
      </c>
      <c r="J15" s="2">
        <v>27029</v>
      </c>
      <c r="K15" s="3">
        <v>6.18</v>
      </c>
      <c r="L15">
        <f t="shared" si="2"/>
        <v>1.0618000000000001</v>
      </c>
      <c r="M15">
        <f>100 * PRODUCT(L$2:L15)</f>
        <v>152.32418563188605</v>
      </c>
    </row>
    <row r="16" spans="1:13" x14ac:dyDescent="0.2">
      <c r="A16" s="2">
        <v>5905</v>
      </c>
      <c r="B16" s="3">
        <v>19.47</v>
      </c>
      <c r="G16">
        <f t="shared" si="0"/>
        <v>10</v>
      </c>
      <c r="H16">
        <f t="shared" si="1"/>
        <v>10</v>
      </c>
      <c r="J16" s="2">
        <v>27394</v>
      </c>
      <c r="K16" s="3">
        <v>11.05</v>
      </c>
      <c r="L16">
        <f t="shared" si="2"/>
        <v>1.1105</v>
      </c>
      <c r="M16">
        <f>100 * PRODUCT(L$2:L16)</f>
        <v>169.15600814420947</v>
      </c>
    </row>
    <row r="17" spans="1:13" x14ac:dyDescent="0.2">
      <c r="A17" s="2">
        <v>5936</v>
      </c>
      <c r="B17" s="3">
        <v>19.47</v>
      </c>
      <c r="G17">
        <f t="shared" si="0"/>
        <v>10</v>
      </c>
      <c r="H17">
        <f t="shared" si="1"/>
        <v>10</v>
      </c>
      <c r="J17" s="2">
        <v>27759</v>
      </c>
      <c r="K17" s="3">
        <v>9.14</v>
      </c>
      <c r="L17">
        <f t="shared" si="2"/>
        <v>1.0913999999999999</v>
      </c>
      <c r="M17">
        <f>100 * PRODUCT(L$2:L17)</f>
        <v>184.61686728859021</v>
      </c>
    </row>
    <row r="18" spans="1:13" x14ac:dyDescent="0.2">
      <c r="A18" s="2">
        <v>5966</v>
      </c>
      <c r="B18" s="3">
        <v>19.47</v>
      </c>
      <c r="G18">
        <f t="shared" si="0"/>
        <v>10</v>
      </c>
      <c r="H18">
        <f t="shared" si="1"/>
        <v>10</v>
      </c>
      <c r="J18" s="2">
        <v>28125</v>
      </c>
      <c r="K18" s="3">
        <v>5.74</v>
      </c>
      <c r="L18">
        <f t="shared" si="2"/>
        <v>1.0573999999999999</v>
      </c>
      <c r="M18">
        <f>100 * PRODUCT(L$2:L18)</f>
        <v>195.21387547095529</v>
      </c>
    </row>
    <row r="19" spans="1:13" x14ac:dyDescent="0.2">
      <c r="A19" s="2">
        <v>5997</v>
      </c>
      <c r="B19" s="3">
        <v>19.47</v>
      </c>
      <c r="G19">
        <f t="shared" si="0"/>
        <v>10</v>
      </c>
      <c r="H19">
        <f t="shared" si="1"/>
        <v>10</v>
      </c>
      <c r="J19" s="2">
        <v>28490</v>
      </c>
      <c r="K19" s="3">
        <v>6.5</v>
      </c>
      <c r="L19">
        <f t="shared" si="2"/>
        <v>1.0649999999999999</v>
      </c>
      <c r="M19">
        <f>100 * PRODUCT(L$2:L19)</f>
        <v>207.90277737656737</v>
      </c>
    </row>
    <row r="20" spans="1:13" x14ac:dyDescent="0.2">
      <c r="A20" s="2">
        <v>6027</v>
      </c>
      <c r="B20" s="3">
        <v>19.47</v>
      </c>
      <c r="G20">
        <f t="shared" si="0"/>
        <v>10</v>
      </c>
      <c r="H20">
        <f t="shared" si="1"/>
        <v>10</v>
      </c>
      <c r="J20" s="2">
        <v>28855</v>
      </c>
      <c r="K20" s="3">
        <v>7.63</v>
      </c>
      <c r="L20">
        <f t="shared" si="2"/>
        <v>1.0763</v>
      </c>
      <c r="M20">
        <f>100 * PRODUCT(L$2:L20)</f>
        <v>223.76575929039947</v>
      </c>
    </row>
    <row r="21" spans="1:13" x14ac:dyDescent="0.2">
      <c r="A21" s="2">
        <v>6058</v>
      </c>
      <c r="B21" s="3">
        <v>19.47</v>
      </c>
      <c r="G21">
        <f t="shared" si="0"/>
        <v>10</v>
      </c>
      <c r="H21">
        <f t="shared" si="1"/>
        <v>10</v>
      </c>
      <c r="J21" s="2">
        <v>29220</v>
      </c>
      <c r="K21" s="3">
        <v>11.25</v>
      </c>
      <c r="L21">
        <f t="shared" si="2"/>
        <v>1.1125</v>
      </c>
      <c r="M21">
        <f>100 * PRODUCT(L$2:L21)</f>
        <v>248.93940721056941</v>
      </c>
    </row>
    <row r="22" spans="1:13" x14ac:dyDescent="0.2">
      <c r="A22" s="2">
        <v>6089</v>
      </c>
      <c r="B22" s="3">
        <v>19.47</v>
      </c>
      <c r="G22">
        <f t="shared" si="0"/>
        <v>10</v>
      </c>
      <c r="H22">
        <f t="shared" si="1"/>
        <v>10</v>
      </c>
      <c r="J22" s="2">
        <v>29586</v>
      </c>
      <c r="K22" s="3">
        <v>13.55</v>
      </c>
      <c r="L22">
        <f t="shared" si="2"/>
        <v>1.1355</v>
      </c>
      <c r="M22">
        <f>100 * PRODUCT(L$2:L22)</f>
        <v>282.67069688760154</v>
      </c>
    </row>
    <row r="23" spans="1:13" x14ac:dyDescent="0.2">
      <c r="A23" s="2">
        <v>6119</v>
      </c>
      <c r="B23" s="3">
        <v>19.47</v>
      </c>
      <c r="G23">
        <f t="shared" si="0"/>
        <v>10</v>
      </c>
      <c r="H23">
        <f t="shared" si="1"/>
        <v>10</v>
      </c>
      <c r="J23" s="2">
        <v>29951</v>
      </c>
      <c r="K23" s="3">
        <v>10.33</v>
      </c>
      <c r="L23">
        <f t="shared" si="2"/>
        <v>1.1032999999999999</v>
      </c>
      <c r="M23">
        <f>100 * PRODUCT(L$2:L23)</f>
        <v>311.8705798760908</v>
      </c>
    </row>
    <row r="24" spans="1:13" x14ac:dyDescent="0.2">
      <c r="A24" s="2">
        <v>6150</v>
      </c>
      <c r="B24" s="3">
        <v>19.47</v>
      </c>
      <c r="G24">
        <f t="shared" si="0"/>
        <v>10</v>
      </c>
      <c r="H24">
        <f t="shared" si="1"/>
        <v>10</v>
      </c>
      <c r="J24" s="2">
        <v>30316</v>
      </c>
      <c r="K24" s="3">
        <v>6.13</v>
      </c>
      <c r="L24">
        <f t="shared" si="2"/>
        <v>1.0612999999999999</v>
      </c>
      <c r="M24">
        <f>100 * PRODUCT(L$2:L24)</f>
        <v>330.98824642249514</v>
      </c>
    </row>
    <row r="25" spans="1:13" x14ac:dyDescent="0.2">
      <c r="A25" s="2">
        <v>6180</v>
      </c>
      <c r="B25" s="3">
        <v>19.47</v>
      </c>
      <c r="G25">
        <f t="shared" si="0"/>
        <v>10</v>
      </c>
      <c r="H25">
        <f t="shared" si="1"/>
        <v>10</v>
      </c>
      <c r="J25" s="2">
        <v>30681</v>
      </c>
      <c r="K25" s="3">
        <v>3.21</v>
      </c>
      <c r="L25">
        <f t="shared" si="2"/>
        <v>1.0321</v>
      </c>
      <c r="M25">
        <f>100 * PRODUCT(L$2:L25)</f>
        <v>341.61296913265721</v>
      </c>
    </row>
    <row r="26" spans="1:13" x14ac:dyDescent="0.2">
      <c r="A26" s="2">
        <v>6211</v>
      </c>
      <c r="B26" s="3">
        <v>19.66</v>
      </c>
      <c r="G26">
        <f t="shared" si="0"/>
        <v>10</v>
      </c>
      <c r="H26">
        <f t="shared" si="1"/>
        <v>10</v>
      </c>
      <c r="J26" s="2">
        <v>31047</v>
      </c>
      <c r="K26" s="3">
        <v>4.3</v>
      </c>
      <c r="L26">
        <f t="shared" si="2"/>
        <v>1.0429999999999999</v>
      </c>
      <c r="M26">
        <f>100 * PRODUCT(L$2:L26)</f>
        <v>356.30232680536147</v>
      </c>
    </row>
    <row r="27" spans="1:13" x14ac:dyDescent="0.2">
      <c r="A27" s="2">
        <v>6242</v>
      </c>
      <c r="B27" s="3">
        <v>19.66</v>
      </c>
      <c r="G27">
        <f t="shared" si="0"/>
        <v>10</v>
      </c>
      <c r="H27">
        <f t="shared" si="1"/>
        <v>10</v>
      </c>
      <c r="J27" s="2">
        <v>31412</v>
      </c>
      <c r="K27" s="3">
        <v>3.55</v>
      </c>
      <c r="L27">
        <f t="shared" si="2"/>
        <v>1.0354999999999999</v>
      </c>
      <c r="M27">
        <f>100 * PRODUCT(L$2:L27)</f>
        <v>368.95105940695174</v>
      </c>
    </row>
    <row r="28" spans="1:13" x14ac:dyDescent="0.2">
      <c r="A28" s="2">
        <v>6270</v>
      </c>
      <c r="B28" s="3">
        <v>19.66</v>
      </c>
      <c r="G28">
        <f t="shared" si="0"/>
        <v>10</v>
      </c>
      <c r="H28">
        <f t="shared" si="1"/>
        <v>10</v>
      </c>
      <c r="J28" s="2">
        <v>31777</v>
      </c>
      <c r="K28" s="3">
        <v>1.9</v>
      </c>
      <c r="L28">
        <f t="shared" si="2"/>
        <v>1.0190000000000001</v>
      </c>
      <c r="M28">
        <f>100 * PRODUCT(L$2:L28)</f>
        <v>375.96112953568388</v>
      </c>
    </row>
    <row r="29" spans="1:13" x14ac:dyDescent="0.2">
      <c r="A29" s="2">
        <v>6301</v>
      </c>
      <c r="B29" s="3">
        <v>19.66</v>
      </c>
      <c r="G29">
        <f t="shared" si="0"/>
        <v>10</v>
      </c>
      <c r="H29">
        <f t="shared" si="1"/>
        <v>10</v>
      </c>
      <c r="J29" s="2">
        <v>32142</v>
      </c>
      <c r="K29" s="3">
        <v>3.66</v>
      </c>
      <c r="L29">
        <f t="shared" si="2"/>
        <v>1.0366</v>
      </c>
      <c r="M29">
        <f>100 * PRODUCT(L$2:L29)</f>
        <v>389.72130687668988</v>
      </c>
    </row>
    <row r="30" spans="1:13" x14ac:dyDescent="0.2">
      <c r="A30" s="2">
        <v>6331</v>
      </c>
      <c r="B30" s="3">
        <v>19.66</v>
      </c>
      <c r="G30">
        <f t="shared" si="0"/>
        <v>10</v>
      </c>
      <c r="H30">
        <f t="shared" si="1"/>
        <v>10</v>
      </c>
      <c r="J30" s="2">
        <v>32508</v>
      </c>
      <c r="K30" s="3">
        <v>4.08</v>
      </c>
      <c r="L30">
        <f t="shared" si="2"/>
        <v>1.0407999999999999</v>
      </c>
      <c r="M30">
        <f>100 * PRODUCT(L$2:L30)</f>
        <v>405.62193619725872</v>
      </c>
    </row>
    <row r="31" spans="1:13" x14ac:dyDescent="0.2">
      <c r="A31" s="2">
        <v>6362</v>
      </c>
      <c r="B31" s="3">
        <v>19.66</v>
      </c>
      <c r="G31">
        <f t="shared" si="0"/>
        <v>10</v>
      </c>
      <c r="H31">
        <f t="shared" si="1"/>
        <v>10</v>
      </c>
      <c r="J31" s="2">
        <v>32873</v>
      </c>
      <c r="K31" s="3">
        <v>4.83</v>
      </c>
      <c r="L31">
        <f t="shared" si="2"/>
        <v>1.0483</v>
      </c>
      <c r="M31">
        <f>100 * PRODUCT(L$2:L31)</f>
        <v>425.2134757155863</v>
      </c>
    </row>
    <row r="32" spans="1:13" x14ac:dyDescent="0.2">
      <c r="A32" s="2">
        <v>6392</v>
      </c>
      <c r="B32" s="3">
        <v>19.66</v>
      </c>
      <c r="G32">
        <f t="shared" si="0"/>
        <v>10</v>
      </c>
      <c r="H32">
        <f t="shared" si="1"/>
        <v>10</v>
      </c>
      <c r="J32" s="2">
        <v>33238</v>
      </c>
      <c r="K32" s="3">
        <v>5.4</v>
      </c>
      <c r="L32">
        <f t="shared" si="2"/>
        <v>1.054</v>
      </c>
      <c r="M32">
        <f>100 * PRODUCT(L$2:L32)</f>
        <v>448.17500340422799</v>
      </c>
    </row>
    <row r="33" spans="1:13" x14ac:dyDescent="0.2">
      <c r="A33" s="2">
        <v>6423</v>
      </c>
      <c r="B33" s="3">
        <v>19.66</v>
      </c>
      <c r="G33">
        <f t="shared" si="0"/>
        <v>10</v>
      </c>
      <c r="H33">
        <f t="shared" si="1"/>
        <v>10</v>
      </c>
      <c r="J33" s="2">
        <v>33603</v>
      </c>
      <c r="K33" s="3">
        <v>4.2300000000000004</v>
      </c>
      <c r="L33">
        <f t="shared" si="2"/>
        <v>1.0423</v>
      </c>
      <c r="M33">
        <f>100 * PRODUCT(L$2:L33)</f>
        <v>467.13280604822688</v>
      </c>
    </row>
    <row r="34" spans="1:13" x14ac:dyDescent="0.2">
      <c r="A34" s="2">
        <v>6454</v>
      </c>
      <c r="B34" s="3">
        <v>19.66</v>
      </c>
      <c r="G34">
        <f t="shared" si="0"/>
        <v>10</v>
      </c>
      <c r="H34">
        <f t="shared" si="1"/>
        <v>10</v>
      </c>
      <c r="J34" s="2">
        <v>33969</v>
      </c>
      <c r="K34" s="3">
        <v>3.03</v>
      </c>
      <c r="L34">
        <f t="shared" si="2"/>
        <v>1.0303</v>
      </c>
      <c r="M34">
        <f>100 * PRODUCT(L$2:L34)</f>
        <v>481.28693007148814</v>
      </c>
    </row>
    <row r="35" spans="1:13" x14ac:dyDescent="0.2">
      <c r="A35" s="2">
        <v>6484</v>
      </c>
      <c r="B35" s="3">
        <v>19.66</v>
      </c>
      <c r="G35">
        <f t="shared" si="0"/>
        <v>10</v>
      </c>
      <c r="H35">
        <f t="shared" si="1"/>
        <v>10</v>
      </c>
      <c r="J35" s="2">
        <v>34334</v>
      </c>
      <c r="K35" s="3">
        <v>2.95</v>
      </c>
      <c r="L35">
        <f t="shared" si="2"/>
        <v>1.0295000000000001</v>
      </c>
      <c r="M35">
        <f>100 * PRODUCT(L$2:L35)</f>
        <v>495.48489450859705</v>
      </c>
    </row>
    <row r="36" spans="1:13" x14ac:dyDescent="0.2">
      <c r="A36" s="2">
        <v>6515</v>
      </c>
      <c r="B36" s="3">
        <v>19.66</v>
      </c>
      <c r="G36">
        <f t="shared" si="0"/>
        <v>10</v>
      </c>
      <c r="H36">
        <f t="shared" si="1"/>
        <v>10</v>
      </c>
      <c r="J36" s="2">
        <v>34699</v>
      </c>
      <c r="K36" s="3">
        <v>2.61</v>
      </c>
      <c r="L36">
        <f t="shared" si="2"/>
        <v>1.0261</v>
      </c>
      <c r="M36">
        <f>100 * PRODUCT(L$2:L36)</f>
        <v>508.41705025527142</v>
      </c>
    </row>
    <row r="37" spans="1:13" x14ac:dyDescent="0.2">
      <c r="A37" s="2">
        <v>6545</v>
      </c>
      <c r="B37" s="3">
        <v>19.66</v>
      </c>
      <c r="G37">
        <f t="shared" si="0"/>
        <v>10</v>
      </c>
      <c r="H37">
        <f t="shared" si="1"/>
        <v>10</v>
      </c>
      <c r="J37" s="2">
        <v>35064</v>
      </c>
      <c r="K37" s="3">
        <v>2.81</v>
      </c>
      <c r="L37">
        <f t="shared" si="2"/>
        <v>1.0281</v>
      </c>
      <c r="M37">
        <f>100 * PRODUCT(L$2:L37)</f>
        <v>522.70356936744463</v>
      </c>
    </row>
    <row r="38" spans="1:13" x14ac:dyDescent="0.2">
      <c r="A38" s="2">
        <v>6576</v>
      </c>
      <c r="B38" s="3">
        <v>19.84</v>
      </c>
      <c r="G38">
        <f t="shared" si="0"/>
        <v>10</v>
      </c>
      <c r="H38">
        <f t="shared" si="1"/>
        <v>10</v>
      </c>
      <c r="J38" s="2">
        <v>35430</v>
      </c>
      <c r="K38" s="3">
        <v>2.93</v>
      </c>
      <c r="L38">
        <f t="shared" si="2"/>
        <v>1.0293000000000001</v>
      </c>
      <c r="M38">
        <f>100 * PRODUCT(L$2:L38)</f>
        <v>538.01878394991081</v>
      </c>
    </row>
    <row r="39" spans="1:13" x14ac:dyDescent="0.2">
      <c r="A39" s="2">
        <v>6607</v>
      </c>
      <c r="B39" s="3">
        <v>19.84</v>
      </c>
      <c r="G39">
        <f t="shared" si="0"/>
        <v>10</v>
      </c>
      <c r="H39">
        <f t="shared" si="1"/>
        <v>10</v>
      </c>
      <c r="J39" s="2">
        <v>35795</v>
      </c>
      <c r="K39" s="3">
        <v>2.34</v>
      </c>
      <c r="L39">
        <f t="shared" si="2"/>
        <v>1.0234000000000001</v>
      </c>
      <c r="M39">
        <f>100 * PRODUCT(L$2:L39)</f>
        <v>550.60842349433881</v>
      </c>
    </row>
    <row r="40" spans="1:13" x14ac:dyDescent="0.2">
      <c r="A40" s="2">
        <v>6635</v>
      </c>
      <c r="B40" s="3">
        <v>19.84</v>
      </c>
      <c r="G40">
        <f t="shared" si="0"/>
        <v>10</v>
      </c>
      <c r="H40">
        <f t="shared" si="1"/>
        <v>10</v>
      </c>
      <c r="J40" s="2">
        <v>36160</v>
      </c>
      <c r="K40" s="3">
        <v>1.55</v>
      </c>
      <c r="L40">
        <f t="shared" si="2"/>
        <v>1.0155000000000001</v>
      </c>
      <c r="M40">
        <f>100 * PRODUCT(L$2:L40)</f>
        <v>559.14285405850114</v>
      </c>
    </row>
    <row r="41" spans="1:13" x14ac:dyDescent="0.2">
      <c r="A41" s="2">
        <v>6666</v>
      </c>
      <c r="B41" s="3">
        <v>19.84</v>
      </c>
      <c r="G41">
        <f t="shared" si="0"/>
        <v>10</v>
      </c>
      <c r="H41">
        <f t="shared" si="1"/>
        <v>10</v>
      </c>
      <c r="J41" s="2">
        <v>36525</v>
      </c>
      <c r="K41" s="3">
        <v>2.19</v>
      </c>
      <c r="L41">
        <f t="shared" si="2"/>
        <v>1.0219</v>
      </c>
      <c r="M41">
        <f>100 * PRODUCT(L$2:L41)</f>
        <v>571.38808256238235</v>
      </c>
    </row>
    <row r="42" spans="1:13" x14ac:dyDescent="0.2">
      <c r="A42" s="2">
        <v>6696</v>
      </c>
      <c r="B42" s="3">
        <v>19.84</v>
      </c>
      <c r="G42">
        <f t="shared" si="0"/>
        <v>10</v>
      </c>
      <c r="H42">
        <f t="shared" si="1"/>
        <v>10</v>
      </c>
      <c r="J42" s="2">
        <v>36891</v>
      </c>
      <c r="K42" s="3">
        <v>3.38</v>
      </c>
      <c r="L42">
        <f t="shared" si="2"/>
        <v>1.0338000000000001</v>
      </c>
      <c r="M42">
        <f>100 * PRODUCT(L$2:L42)</f>
        <v>590.70099975299092</v>
      </c>
    </row>
    <row r="43" spans="1:13" x14ac:dyDescent="0.2">
      <c r="A43" s="2">
        <v>6727</v>
      </c>
      <c r="B43" s="3">
        <v>19.84</v>
      </c>
      <c r="G43">
        <f t="shared" si="0"/>
        <v>10</v>
      </c>
      <c r="H43">
        <f t="shared" si="1"/>
        <v>10</v>
      </c>
      <c r="J43" s="2">
        <v>37256</v>
      </c>
      <c r="K43" s="3">
        <v>2.83</v>
      </c>
      <c r="L43">
        <f t="shared" si="2"/>
        <v>1.0283</v>
      </c>
      <c r="M43">
        <f>100 * PRODUCT(L$2:L43)</f>
        <v>607.41783804600061</v>
      </c>
    </row>
    <row r="44" spans="1:13" x14ac:dyDescent="0.2">
      <c r="A44" s="2">
        <v>6757</v>
      </c>
      <c r="B44" s="3">
        <v>19.84</v>
      </c>
      <c r="G44">
        <f t="shared" si="0"/>
        <v>10</v>
      </c>
      <c r="H44">
        <f t="shared" si="1"/>
        <v>10</v>
      </c>
      <c r="J44" s="2">
        <v>37621</v>
      </c>
      <c r="K44" s="3">
        <v>1.59</v>
      </c>
      <c r="L44">
        <f t="shared" si="2"/>
        <v>1.0159</v>
      </c>
      <c r="M44">
        <f>100 * PRODUCT(L$2:L44)</f>
        <v>617.07578167093197</v>
      </c>
    </row>
    <row r="45" spans="1:13" x14ac:dyDescent="0.2">
      <c r="A45" s="2">
        <v>6788</v>
      </c>
      <c r="B45" s="3">
        <v>19.84</v>
      </c>
      <c r="G45">
        <f t="shared" si="0"/>
        <v>10</v>
      </c>
      <c r="H45">
        <f t="shared" si="1"/>
        <v>10</v>
      </c>
      <c r="J45" s="2">
        <v>37986</v>
      </c>
      <c r="K45" s="3">
        <v>2.27</v>
      </c>
      <c r="L45">
        <f t="shared" si="2"/>
        <v>1.0226999999999999</v>
      </c>
      <c r="M45">
        <f>100 * PRODUCT(L$2:L45)</f>
        <v>631.08340191486207</v>
      </c>
    </row>
    <row r="46" spans="1:13" x14ac:dyDescent="0.2">
      <c r="A46" s="2">
        <v>6819</v>
      </c>
      <c r="B46" s="3">
        <v>19.84</v>
      </c>
      <c r="G46">
        <f t="shared" si="0"/>
        <v>10</v>
      </c>
      <c r="H46">
        <f t="shared" si="1"/>
        <v>10</v>
      </c>
      <c r="J46" s="2">
        <v>38352</v>
      </c>
      <c r="K46" s="3">
        <v>2.68</v>
      </c>
      <c r="L46">
        <f t="shared" si="2"/>
        <v>1.0268000000000002</v>
      </c>
      <c r="M46">
        <f>100 * PRODUCT(L$2:L46)</f>
        <v>647.99643708618055</v>
      </c>
    </row>
    <row r="47" spans="1:13" x14ac:dyDescent="0.2">
      <c r="A47" s="2">
        <v>6849</v>
      </c>
      <c r="B47" s="3">
        <v>19.84</v>
      </c>
      <c r="G47">
        <f t="shared" si="0"/>
        <v>10</v>
      </c>
      <c r="H47">
        <f t="shared" si="1"/>
        <v>10</v>
      </c>
      <c r="J47" s="2">
        <v>38717</v>
      </c>
      <c r="K47" s="3">
        <v>3.39</v>
      </c>
      <c r="L47">
        <f t="shared" si="2"/>
        <v>1.0339</v>
      </c>
      <c r="M47">
        <f>100 * PRODUCT(L$2:L47)</f>
        <v>669.96351630340212</v>
      </c>
    </row>
    <row r="48" spans="1:13" x14ac:dyDescent="0.2">
      <c r="A48" s="2">
        <v>6880</v>
      </c>
      <c r="B48" s="3">
        <v>19.84</v>
      </c>
      <c r="G48">
        <f t="shared" si="0"/>
        <v>10</v>
      </c>
      <c r="H48">
        <f t="shared" si="1"/>
        <v>10</v>
      </c>
      <c r="J48" s="2">
        <v>39082</v>
      </c>
      <c r="K48" s="3">
        <v>3.23</v>
      </c>
      <c r="L48">
        <f t="shared" si="2"/>
        <v>1.0323</v>
      </c>
      <c r="M48">
        <f>100 * PRODUCT(L$2:L48)</f>
        <v>691.60333788000196</v>
      </c>
    </row>
    <row r="49" spans="1:13" x14ac:dyDescent="0.2">
      <c r="A49" s="2">
        <v>6910</v>
      </c>
      <c r="B49" s="3">
        <v>19.84</v>
      </c>
      <c r="G49">
        <f t="shared" si="0"/>
        <v>10</v>
      </c>
      <c r="H49">
        <f t="shared" si="1"/>
        <v>10</v>
      </c>
      <c r="J49" s="2">
        <v>39447</v>
      </c>
      <c r="K49" s="3">
        <v>2.85</v>
      </c>
      <c r="L49">
        <f t="shared" si="2"/>
        <v>1.0285</v>
      </c>
      <c r="M49">
        <f>100 * PRODUCT(L$2:L49)</f>
        <v>711.31403300958198</v>
      </c>
    </row>
    <row r="50" spans="1:13" x14ac:dyDescent="0.2">
      <c r="A50" s="2">
        <v>6941</v>
      </c>
      <c r="B50" s="3">
        <v>20.03</v>
      </c>
      <c r="G50">
        <f t="shared" si="0"/>
        <v>10</v>
      </c>
      <c r="H50">
        <f t="shared" si="1"/>
        <v>10</v>
      </c>
      <c r="J50" s="2">
        <v>39813</v>
      </c>
      <c r="K50" s="3">
        <v>3.84</v>
      </c>
      <c r="L50">
        <f t="shared" si="2"/>
        <v>1.0384</v>
      </c>
      <c r="M50">
        <f>100 * PRODUCT(L$2:L50)</f>
        <v>738.62849187714983</v>
      </c>
    </row>
    <row r="51" spans="1:13" x14ac:dyDescent="0.2">
      <c r="A51" s="2">
        <v>6972</v>
      </c>
      <c r="B51" s="3">
        <v>20.03</v>
      </c>
      <c r="G51">
        <f t="shared" si="0"/>
        <v>10</v>
      </c>
      <c r="H51">
        <f t="shared" si="1"/>
        <v>10</v>
      </c>
      <c r="J51" s="2">
        <v>40178</v>
      </c>
      <c r="K51" s="3">
        <v>-0.36</v>
      </c>
      <c r="L51">
        <f t="shared" si="2"/>
        <v>0.99639999999999995</v>
      </c>
      <c r="M51">
        <f>100 * PRODUCT(L$2:L51)</f>
        <v>735.96942930639204</v>
      </c>
    </row>
    <row r="52" spans="1:13" x14ac:dyDescent="0.2">
      <c r="A52" s="2">
        <v>7000</v>
      </c>
      <c r="B52" s="3">
        <v>20.03</v>
      </c>
      <c r="G52">
        <f t="shared" si="0"/>
        <v>10</v>
      </c>
      <c r="H52">
        <f t="shared" si="1"/>
        <v>10</v>
      </c>
      <c r="J52" s="2">
        <v>40543</v>
      </c>
      <c r="K52" s="3">
        <v>1.64</v>
      </c>
      <c r="L52">
        <f t="shared" si="2"/>
        <v>1.0164</v>
      </c>
      <c r="M52">
        <f>100 * PRODUCT(L$2:L52)</f>
        <v>748.03932794701689</v>
      </c>
    </row>
    <row r="53" spans="1:13" x14ac:dyDescent="0.2">
      <c r="A53" s="2">
        <v>7031</v>
      </c>
      <c r="B53" s="3">
        <v>20.03</v>
      </c>
      <c r="G53">
        <f t="shared" si="0"/>
        <v>10</v>
      </c>
      <c r="H53">
        <f t="shared" si="1"/>
        <v>10</v>
      </c>
      <c r="J53" s="2">
        <v>40908</v>
      </c>
      <c r="K53" s="3">
        <v>3.16</v>
      </c>
      <c r="L53">
        <f t="shared" si="2"/>
        <v>1.0316000000000001</v>
      </c>
      <c r="M53">
        <f>100 * PRODUCT(L$2:L53)</f>
        <v>771.67737071014267</v>
      </c>
    </row>
    <row r="54" spans="1:13" x14ac:dyDescent="0.2">
      <c r="A54" s="2">
        <v>7061</v>
      </c>
      <c r="B54" s="3">
        <v>20.03</v>
      </c>
      <c r="G54">
        <f t="shared" si="0"/>
        <v>10</v>
      </c>
      <c r="H54">
        <f t="shared" si="1"/>
        <v>10</v>
      </c>
      <c r="J54" s="2">
        <v>41274</v>
      </c>
      <c r="K54" s="3">
        <v>2.0699999999999998</v>
      </c>
      <c r="L54">
        <f t="shared" si="2"/>
        <v>1.0206999999999999</v>
      </c>
      <c r="M54">
        <f>100 * PRODUCT(L$2:L54)</f>
        <v>787.65109228384256</v>
      </c>
    </row>
    <row r="55" spans="1:13" x14ac:dyDescent="0.2">
      <c r="A55" s="2">
        <v>7092</v>
      </c>
      <c r="B55" s="3">
        <v>20.03</v>
      </c>
      <c r="G55">
        <f t="shared" si="0"/>
        <v>10</v>
      </c>
      <c r="H55">
        <f t="shared" si="1"/>
        <v>10</v>
      </c>
      <c r="J55" s="2">
        <v>41639</v>
      </c>
      <c r="K55" s="3">
        <v>1.46</v>
      </c>
      <c r="L55">
        <f t="shared" si="2"/>
        <v>1.0145999999999999</v>
      </c>
      <c r="M55">
        <f>100 * PRODUCT(L$2:L55)</f>
        <v>799.15079823118663</v>
      </c>
    </row>
    <row r="56" spans="1:13" x14ac:dyDescent="0.2">
      <c r="A56" s="2">
        <v>7122</v>
      </c>
      <c r="B56" s="3">
        <v>20.03</v>
      </c>
      <c r="G56">
        <f t="shared" si="0"/>
        <v>10</v>
      </c>
      <c r="H56">
        <f t="shared" si="1"/>
        <v>10</v>
      </c>
      <c r="J56" s="2">
        <v>42004</v>
      </c>
      <c r="K56" s="3">
        <v>1.62</v>
      </c>
      <c r="L56">
        <f t="shared" si="2"/>
        <v>1.0162</v>
      </c>
      <c r="M56">
        <f>100 * PRODUCT(L$2:L56)</f>
        <v>812.09704116253181</v>
      </c>
    </row>
    <row r="57" spans="1:13" x14ac:dyDescent="0.2">
      <c r="A57" s="2">
        <v>7153</v>
      </c>
      <c r="B57" s="3">
        <v>20.03</v>
      </c>
      <c r="G57">
        <f t="shared" si="0"/>
        <v>10</v>
      </c>
      <c r="H57">
        <f t="shared" si="1"/>
        <v>10</v>
      </c>
      <c r="J57" s="2">
        <v>42369</v>
      </c>
      <c r="K57" s="3">
        <v>0.12</v>
      </c>
      <c r="L57">
        <f t="shared" si="2"/>
        <v>1.0012000000000001</v>
      </c>
      <c r="M57">
        <f>100 * PRODUCT(L$2:L57)</f>
        <v>813.07155761192701</v>
      </c>
    </row>
    <row r="58" spans="1:13" x14ac:dyDescent="0.2">
      <c r="A58" s="2">
        <v>7184</v>
      </c>
      <c r="B58" s="3">
        <v>20.03</v>
      </c>
      <c r="G58">
        <f t="shared" si="0"/>
        <v>10</v>
      </c>
      <c r="H58">
        <f t="shared" si="1"/>
        <v>10</v>
      </c>
      <c r="J58" s="2">
        <v>42735</v>
      </c>
      <c r="K58" s="3">
        <v>1.26</v>
      </c>
      <c r="L58">
        <f t="shared" si="2"/>
        <v>1.0125999999999999</v>
      </c>
      <c r="M58">
        <f>100 * PRODUCT(L$2:L58)</f>
        <v>823.31625923783724</v>
      </c>
    </row>
    <row r="59" spans="1:13" x14ac:dyDescent="0.2">
      <c r="A59" s="2">
        <v>7214</v>
      </c>
      <c r="B59" s="3">
        <v>20.03</v>
      </c>
      <c r="G59">
        <f t="shared" si="0"/>
        <v>10</v>
      </c>
      <c r="H59">
        <f t="shared" si="1"/>
        <v>10</v>
      </c>
      <c r="J59" s="2">
        <v>43100</v>
      </c>
      <c r="K59" s="3">
        <v>2.13</v>
      </c>
      <c r="L59">
        <f t="shared" si="2"/>
        <v>1.0212999999999999</v>
      </c>
      <c r="M59">
        <f>100 * PRODUCT(L$2:L59)</f>
        <v>840.8528955596031</v>
      </c>
    </row>
    <row r="60" spans="1:13" x14ac:dyDescent="0.2">
      <c r="A60" s="2">
        <v>7245</v>
      </c>
      <c r="B60" s="3">
        <v>20.03</v>
      </c>
      <c r="G60">
        <f t="shared" si="0"/>
        <v>10</v>
      </c>
      <c r="H60">
        <f t="shared" si="1"/>
        <v>10</v>
      </c>
      <c r="J60" s="2">
        <v>43465</v>
      </c>
      <c r="K60" s="3">
        <v>2.44</v>
      </c>
      <c r="L60">
        <f t="shared" si="2"/>
        <v>1.0244</v>
      </c>
      <c r="M60">
        <f>100 * PRODUCT(L$2:L60)</f>
        <v>861.36970621125749</v>
      </c>
    </row>
    <row r="61" spans="1:13" x14ac:dyDescent="0.2">
      <c r="A61" s="2">
        <v>7275</v>
      </c>
      <c r="B61" s="3">
        <v>20.03</v>
      </c>
      <c r="G61">
        <f t="shared" si="0"/>
        <v>10</v>
      </c>
      <c r="H61">
        <f t="shared" si="1"/>
        <v>10</v>
      </c>
      <c r="J61" s="2">
        <v>43830</v>
      </c>
      <c r="K61" s="3">
        <v>1.81</v>
      </c>
      <c r="L61">
        <f t="shared" si="2"/>
        <v>1.0181</v>
      </c>
      <c r="M61">
        <f>100 * PRODUCT(L$2:L61)</f>
        <v>876.96049789368112</v>
      </c>
    </row>
    <row r="62" spans="1:13" x14ac:dyDescent="0.2">
      <c r="A62" s="2">
        <v>7306</v>
      </c>
      <c r="B62" s="3">
        <v>20.63</v>
      </c>
      <c r="G62">
        <f t="shared" si="0"/>
        <v>10</v>
      </c>
      <c r="H62">
        <f t="shared" si="1"/>
        <v>10</v>
      </c>
      <c r="J62" s="2">
        <v>44196</v>
      </c>
      <c r="K62" s="3">
        <v>1.23</v>
      </c>
      <c r="L62">
        <f t="shared" si="2"/>
        <v>1.0123</v>
      </c>
      <c r="M62">
        <f>100 * PRODUCT(L$2:L62)</f>
        <v>887.74711201777347</v>
      </c>
    </row>
    <row r="63" spans="1:13" x14ac:dyDescent="0.2">
      <c r="A63" s="2">
        <v>7337</v>
      </c>
      <c r="B63" s="3">
        <v>20.63</v>
      </c>
      <c r="G63">
        <f t="shared" si="0"/>
        <v>10</v>
      </c>
      <c r="H63">
        <f t="shared" si="1"/>
        <v>10</v>
      </c>
      <c r="J63" s="2">
        <v>44561</v>
      </c>
      <c r="K63" s="3">
        <v>4.7</v>
      </c>
      <c r="L63">
        <f t="shared" si="2"/>
        <v>1.0469999999999999</v>
      </c>
      <c r="M63">
        <f>100 * PRODUCT(L$2:L63)</f>
        <v>929.47122628260865</v>
      </c>
    </row>
    <row r="64" spans="1:13" x14ac:dyDescent="0.2">
      <c r="A64" s="2">
        <v>7366</v>
      </c>
      <c r="B64" s="3">
        <v>20.63</v>
      </c>
      <c r="G64">
        <f t="shared" si="0"/>
        <v>10</v>
      </c>
      <c r="H64">
        <f t="shared" si="1"/>
        <v>10</v>
      </c>
      <c r="J64" s="2">
        <v>44926</v>
      </c>
      <c r="K64" s="3">
        <v>8</v>
      </c>
      <c r="L64">
        <f t="shared" si="2"/>
        <v>1.08</v>
      </c>
      <c r="M64">
        <f>100 * PRODUCT(L$2:L64)</f>
        <v>1003.8289243852174</v>
      </c>
    </row>
    <row r="65" spans="1:13" x14ac:dyDescent="0.2">
      <c r="A65" s="2">
        <v>7397</v>
      </c>
      <c r="B65" s="3">
        <v>20.63</v>
      </c>
      <c r="G65">
        <f t="shared" si="0"/>
        <v>10</v>
      </c>
      <c r="H65">
        <f t="shared" si="1"/>
        <v>10</v>
      </c>
      <c r="J65" s="2">
        <v>45291</v>
      </c>
      <c r="K65" s="3">
        <v>4.12</v>
      </c>
      <c r="L65">
        <f t="shared" si="2"/>
        <v>1.0412000000000001</v>
      </c>
      <c r="M65">
        <f>100 * PRODUCT(L$2:L65)</f>
        <v>1045.1866760698886</v>
      </c>
    </row>
    <row r="66" spans="1:13" x14ac:dyDescent="0.2">
      <c r="A66" s="2">
        <v>7427</v>
      </c>
      <c r="B66" s="3">
        <v>20.63</v>
      </c>
      <c r="G66">
        <f t="shared" si="0"/>
        <v>10</v>
      </c>
      <c r="H66">
        <f t="shared" si="1"/>
        <v>10</v>
      </c>
      <c r="J66" s="2">
        <v>45657</v>
      </c>
      <c r="K66" s="3">
        <v>2.95</v>
      </c>
      <c r="L66">
        <f t="shared" si="2"/>
        <v>1.0295000000000001</v>
      </c>
      <c r="M66">
        <f>100 * PRODUCT(L$2:L66)</f>
        <v>1076.0196830139505</v>
      </c>
    </row>
    <row r="67" spans="1:13" x14ac:dyDescent="0.2">
      <c r="A67" s="2">
        <v>7458</v>
      </c>
      <c r="B67" s="3">
        <v>20.63</v>
      </c>
      <c r="G67">
        <f t="shared" ref="G67:G130" si="3">IF(AND(A67&gt;=DATE(1973,1,1), A67&lt;=DATE(1982,12,31)), 10000, 10)</f>
        <v>10</v>
      </c>
      <c r="H67">
        <f t="shared" ref="H67:H130" si="4">IF(AND(A67&gt;=DATE(1983,1,1), A67&lt;=DATE(2007,12,31)), 10000, 10)</f>
        <v>10</v>
      </c>
    </row>
    <row r="68" spans="1:13" x14ac:dyDescent="0.2">
      <c r="A68" s="2">
        <v>7488</v>
      </c>
      <c r="B68" s="3">
        <v>20.63</v>
      </c>
      <c r="G68">
        <f t="shared" si="3"/>
        <v>10</v>
      </c>
      <c r="H68">
        <f t="shared" si="4"/>
        <v>10</v>
      </c>
    </row>
    <row r="69" spans="1:13" x14ac:dyDescent="0.2">
      <c r="A69" s="2">
        <v>7519</v>
      </c>
      <c r="B69" s="3">
        <v>20.63</v>
      </c>
      <c r="G69">
        <f t="shared" si="3"/>
        <v>10</v>
      </c>
      <c r="H69">
        <f t="shared" si="4"/>
        <v>10</v>
      </c>
    </row>
    <row r="70" spans="1:13" x14ac:dyDescent="0.2">
      <c r="A70" s="2">
        <v>7550</v>
      </c>
      <c r="B70" s="3">
        <v>20.63</v>
      </c>
      <c r="G70">
        <f t="shared" si="3"/>
        <v>10</v>
      </c>
      <c r="H70">
        <f t="shared" si="4"/>
        <v>10</v>
      </c>
    </row>
    <row r="71" spans="1:13" x14ac:dyDescent="0.2">
      <c r="A71" s="2">
        <v>7580</v>
      </c>
      <c r="B71" s="3">
        <v>20.63</v>
      </c>
      <c r="G71">
        <f t="shared" si="3"/>
        <v>10</v>
      </c>
      <c r="H71">
        <f t="shared" si="4"/>
        <v>10</v>
      </c>
    </row>
    <row r="72" spans="1:13" x14ac:dyDescent="0.2">
      <c r="A72" s="2">
        <v>7611</v>
      </c>
      <c r="B72" s="3">
        <v>20.63</v>
      </c>
      <c r="G72">
        <f t="shared" si="3"/>
        <v>10</v>
      </c>
      <c r="H72">
        <f t="shared" si="4"/>
        <v>10</v>
      </c>
    </row>
    <row r="73" spans="1:13" x14ac:dyDescent="0.2">
      <c r="A73" s="2">
        <v>7641</v>
      </c>
      <c r="B73" s="3">
        <v>20.63</v>
      </c>
      <c r="G73">
        <f t="shared" si="3"/>
        <v>10</v>
      </c>
      <c r="H73">
        <f t="shared" si="4"/>
        <v>10</v>
      </c>
    </row>
    <row r="74" spans="1:13" x14ac:dyDescent="0.2">
      <c r="A74" s="2">
        <v>7672</v>
      </c>
      <c r="B74" s="3">
        <v>20.69</v>
      </c>
      <c r="G74">
        <f t="shared" si="3"/>
        <v>10</v>
      </c>
      <c r="H74">
        <f t="shared" si="4"/>
        <v>10</v>
      </c>
    </row>
    <row r="75" spans="1:13" x14ac:dyDescent="0.2">
      <c r="A75" s="2">
        <v>7703</v>
      </c>
      <c r="B75" s="3">
        <v>20.69</v>
      </c>
      <c r="G75">
        <f t="shared" si="3"/>
        <v>10</v>
      </c>
      <c r="H75">
        <f t="shared" si="4"/>
        <v>10</v>
      </c>
    </row>
    <row r="76" spans="1:13" x14ac:dyDescent="0.2">
      <c r="A76" s="2">
        <v>7731</v>
      </c>
      <c r="B76" s="3">
        <v>20.69</v>
      </c>
      <c r="G76">
        <f t="shared" si="3"/>
        <v>10</v>
      </c>
      <c r="H76">
        <f t="shared" si="4"/>
        <v>10</v>
      </c>
    </row>
    <row r="77" spans="1:13" x14ac:dyDescent="0.2">
      <c r="A77" s="2">
        <v>7762</v>
      </c>
      <c r="B77" s="3">
        <v>20.69</v>
      </c>
      <c r="G77">
        <f t="shared" si="3"/>
        <v>10</v>
      </c>
      <c r="H77">
        <f t="shared" si="4"/>
        <v>10</v>
      </c>
    </row>
    <row r="78" spans="1:13" x14ac:dyDescent="0.2">
      <c r="A78" s="2">
        <v>7792</v>
      </c>
      <c r="B78" s="3">
        <v>20.69</v>
      </c>
      <c r="G78">
        <f t="shared" si="3"/>
        <v>10</v>
      </c>
      <c r="H78">
        <f t="shared" si="4"/>
        <v>10</v>
      </c>
    </row>
    <row r="79" spans="1:13" x14ac:dyDescent="0.2">
      <c r="A79" s="2">
        <v>7823</v>
      </c>
      <c r="B79" s="3">
        <v>20.69</v>
      </c>
      <c r="G79">
        <f t="shared" si="3"/>
        <v>10</v>
      </c>
      <c r="H79">
        <f t="shared" si="4"/>
        <v>10</v>
      </c>
    </row>
    <row r="80" spans="1:13" x14ac:dyDescent="0.2">
      <c r="A80" s="2">
        <v>7853</v>
      </c>
      <c r="B80" s="3">
        <v>20.69</v>
      </c>
      <c r="G80">
        <f t="shared" si="3"/>
        <v>10</v>
      </c>
      <c r="H80">
        <f t="shared" si="4"/>
        <v>10</v>
      </c>
    </row>
    <row r="81" spans="1:8" x14ac:dyDescent="0.2">
      <c r="A81" s="2">
        <v>7884</v>
      </c>
      <c r="B81" s="3">
        <v>20.69</v>
      </c>
      <c r="G81">
        <f t="shared" si="3"/>
        <v>10</v>
      </c>
      <c r="H81">
        <f t="shared" si="4"/>
        <v>10</v>
      </c>
    </row>
    <row r="82" spans="1:8" x14ac:dyDescent="0.2">
      <c r="A82" s="2">
        <v>7915</v>
      </c>
      <c r="B82" s="3">
        <v>20.69</v>
      </c>
      <c r="G82">
        <f t="shared" si="3"/>
        <v>10</v>
      </c>
      <c r="H82">
        <f t="shared" si="4"/>
        <v>10</v>
      </c>
    </row>
    <row r="83" spans="1:8" x14ac:dyDescent="0.2">
      <c r="A83" s="2">
        <v>7945</v>
      </c>
      <c r="B83" s="3">
        <v>20.69</v>
      </c>
      <c r="G83">
        <f t="shared" si="3"/>
        <v>10</v>
      </c>
      <c r="H83">
        <f t="shared" si="4"/>
        <v>10</v>
      </c>
    </row>
    <row r="84" spans="1:8" x14ac:dyDescent="0.2">
      <c r="A84" s="2">
        <v>7976</v>
      </c>
      <c r="B84" s="3">
        <v>20.69</v>
      </c>
      <c r="G84">
        <f t="shared" si="3"/>
        <v>10</v>
      </c>
      <c r="H84">
        <f t="shared" si="4"/>
        <v>10</v>
      </c>
    </row>
    <row r="85" spans="1:8" x14ac:dyDescent="0.2">
      <c r="A85" s="2">
        <v>8006</v>
      </c>
      <c r="B85" s="3">
        <v>20.69</v>
      </c>
      <c r="G85">
        <f t="shared" si="3"/>
        <v>10</v>
      </c>
      <c r="H85">
        <f t="shared" si="4"/>
        <v>10</v>
      </c>
    </row>
    <row r="86" spans="1:8" x14ac:dyDescent="0.2">
      <c r="A86" s="2">
        <v>8037</v>
      </c>
      <c r="B86" s="3">
        <v>20.84</v>
      </c>
      <c r="G86">
        <f t="shared" si="3"/>
        <v>10</v>
      </c>
      <c r="H86">
        <f t="shared" si="4"/>
        <v>10</v>
      </c>
    </row>
    <row r="87" spans="1:8" x14ac:dyDescent="0.2">
      <c r="A87" s="2">
        <v>8068</v>
      </c>
      <c r="B87" s="3">
        <v>20.84</v>
      </c>
      <c r="G87">
        <f t="shared" si="3"/>
        <v>10</v>
      </c>
      <c r="H87">
        <f t="shared" si="4"/>
        <v>10</v>
      </c>
    </row>
    <row r="88" spans="1:8" x14ac:dyDescent="0.2">
      <c r="A88" s="2">
        <v>8096</v>
      </c>
      <c r="B88" s="3">
        <v>20.84</v>
      </c>
      <c r="G88">
        <f t="shared" si="3"/>
        <v>10</v>
      </c>
      <c r="H88">
        <f t="shared" si="4"/>
        <v>10</v>
      </c>
    </row>
    <row r="89" spans="1:8" x14ac:dyDescent="0.2">
      <c r="A89" s="2">
        <v>8127</v>
      </c>
      <c r="B89" s="3">
        <v>20.84</v>
      </c>
      <c r="G89">
        <f t="shared" si="3"/>
        <v>10</v>
      </c>
      <c r="H89">
        <f t="shared" si="4"/>
        <v>10</v>
      </c>
    </row>
    <row r="90" spans="1:8" x14ac:dyDescent="0.2">
      <c r="A90" s="2">
        <v>8157</v>
      </c>
      <c r="B90" s="3">
        <v>20.84</v>
      </c>
      <c r="G90">
        <f t="shared" si="3"/>
        <v>10</v>
      </c>
      <c r="H90">
        <f t="shared" si="4"/>
        <v>10</v>
      </c>
    </row>
    <row r="91" spans="1:8" x14ac:dyDescent="0.2">
      <c r="A91" s="2">
        <v>8188</v>
      </c>
      <c r="B91" s="3">
        <v>20.84</v>
      </c>
      <c r="G91">
        <f t="shared" si="3"/>
        <v>10</v>
      </c>
      <c r="H91">
        <f t="shared" si="4"/>
        <v>10</v>
      </c>
    </row>
    <row r="92" spans="1:8" x14ac:dyDescent="0.2">
      <c r="A92" s="2">
        <v>8218</v>
      </c>
      <c r="B92" s="3">
        <v>20.84</v>
      </c>
      <c r="G92">
        <f t="shared" si="3"/>
        <v>10</v>
      </c>
      <c r="H92">
        <f t="shared" si="4"/>
        <v>10</v>
      </c>
    </row>
    <row r="93" spans="1:8" x14ac:dyDescent="0.2">
      <c r="A93" s="2">
        <v>8249</v>
      </c>
      <c r="B93" s="3">
        <v>20.84</v>
      </c>
      <c r="G93">
        <f t="shared" si="3"/>
        <v>10</v>
      </c>
      <c r="H93">
        <f t="shared" si="4"/>
        <v>10</v>
      </c>
    </row>
    <row r="94" spans="1:8" x14ac:dyDescent="0.2">
      <c r="A94" s="2">
        <v>8280</v>
      </c>
      <c r="B94" s="3">
        <v>20.84</v>
      </c>
      <c r="G94">
        <f t="shared" si="3"/>
        <v>10</v>
      </c>
      <c r="H94">
        <f t="shared" si="4"/>
        <v>10</v>
      </c>
    </row>
    <row r="95" spans="1:8" x14ac:dyDescent="0.2">
      <c r="A95" s="2">
        <v>8310</v>
      </c>
      <c r="B95" s="3">
        <v>20.84</v>
      </c>
      <c r="G95">
        <f t="shared" si="3"/>
        <v>10</v>
      </c>
      <c r="H95">
        <f t="shared" si="4"/>
        <v>10</v>
      </c>
    </row>
    <row r="96" spans="1:8" x14ac:dyDescent="0.2">
      <c r="A96" s="2">
        <v>8341</v>
      </c>
      <c r="B96" s="3">
        <v>20.84</v>
      </c>
      <c r="G96">
        <f t="shared" si="3"/>
        <v>10</v>
      </c>
      <c r="H96">
        <f t="shared" si="4"/>
        <v>10</v>
      </c>
    </row>
    <row r="97" spans="1:8" x14ac:dyDescent="0.2">
      <c r="A97" s="2">
        <v>8371</v>
      </c>
      <c r="B97" s="3">
        <v>20.84</v>
      </c>
      <c r="G97">
        <f t="shared" si="3"/>
        <v>10</v>
      </c>
      <c r="H97">
        <f t="shared" si="4"/>
        <v>10</v>
      </c>
    </row>
    <row r="98" spans="1:8" x14ac:dyDescent="0.2">
      <c r="A98" s="2">
        <v>8402</v>
      </c>
      <c r="B98" s="3">
        <v>20.75</v>
      </c>
      <c r="G98">
        <f t="shared" si="3"/>
        <v>10</v>
      </c>
      <c r="H98">
        <f t="shared" si="4"/>
        <v>10</v>
      </c>
    </row>
    <row r="99" spans="1:8" x14ac:dyDescent="0.2">
      <c r="A99" s="2">
        <v>8433</v>
      </c>
      <c r="B99" s="3">
        <v>20.75</v>
      </c>
      <c r="G99">
        <f t="shared" si="3"/>
        <v>10</v>
      </c>
      <c r="H99">
        <f t="shared" si="4"/>
        <v>10</v>
      </c>
    </row>
    <row r="100" spans="1:8" x14ac:dyDescent="0.2">
      <c r="A100" s="2">
        <v>8461</v>
      </c>
      <c r="B100" s="3">
        <v>20.75</v>
      </c>
      <c r="G100">
        <f t="shared" si="3"/>
        <v>10</v>
      </c>
      <c r="H100">
        <f t="shared" si="4"/>
        <v>10</v>
      </c>
    </row>
    <row r="101" spans="1:8" x14ac:dyDescent="0.2">
      <c r="A101" s="2">
        <v>8492</v>
      </c>
      <c r="B101" s="3">
        <v>20.75</v>
      </c>
      <c r="G101">
        <f t="shared" si="3"/>
        <v>10</v>
      </c>
      <c r="H101">
        <f t="shared" si="4"/>
        <v>10</v>
      </c>
    </row>
    <row r="102" spans="1:8" x14ac:dyDescent="0.2">
      <c r="A102" s="2">
        <v>8522</v>
      </c>
      <c r="B102" s="3">
        <v>20.75</v>
      </c>
      <c r="G102">
        <f t="shared" si="3"/>
        <v>10</v>
      </c>
      <c r="H102">
        <f t="shared" si="4"/>
        <v>10</v>
      </c>
    </row>
    <row r="103" spans="1:8" x14ac:dyDescent="0.2">
      <c r="A103" s="2">
        <v>8553</v>
      </c>
      <c r="B103" s="3">
        <v>20.75</v>
      </c>
      <c r="G103">
        <f t="shared" si="3"/>
        <v>10</v>
      </c>
      <c r="H103">
        <f t="shared" si="4"/>
        <v>10</v>
      </c>
    </row>
    <row r="104" spans="1:8" x14ac:dyDescent="0.2">
      <c r="A104" s="2">
        <v>8583</v>
      </c>
      <c r="B104" s="3">
        <v>20.75</v>
      </c>
      <c r="G104">
        <f t="shared" si="3"/>
        <v>10</v>
      </c>
      <c r="H104">
        <f t="shared" si="4"/>
        <v>10</v>
      </c>
    </row>
    <row r="105" spans="1:8" x14ac:dyDescent="0.2">
      <c r="A105" s="2">
        <v>8614</v>
      </c>
      <c r="B105" s="3">
        <v>20.75</v>
      </c>
      <c r="G105">
        <f t="shared" si="3"/>
        <v>10</v>
      </c>
      <c r="H105">
        <f t="shared" si="4"/>
        <v>10</v>
      </c>
    </row>
    <row r="106" spans="1:8" x14ac:dyDescent="0.2">
      <c r="A106" s="2">
        <v>8645</v>
      </c>
      <c r="B106" s="3">
        <v>20.75</v>
      </c>
      <c r="G106">
        <f t="shared" si="3"/>
        <v>10</v>
      </c>
      <c r="H106">
        <f t="shared" si="4"/>
        <v>10</v>
      </c>
    </row>
    <row r="107" spans="1:8" x14ac:dyDescent="0.2">
      <c r="A107" s="2">
        <v>8675</v>
      </c>
      <c r="B107" s="3">
        <v>20.75</v>
      </c>
      <c r="G107">
        <f t="shared" si="3"/>
        <v>10</v>
      </c>
      <c r="H107">
        <f t="shared" si="4"/>
        <v>10</v>
      </c>
    </row>
    <row r="108" spans="1:8" x14ac:dyDescent="0.2">
      <c r="A108" s="2">
        <v>8706</v>
      </c>
      <c r="B108" s="3">
        <v>20.75</v>
      </c>
      <c r="G108">
        <f t="shared" si="3"/>
        <v>10</v>
      </c>
      <c r="H108">
        <f t="shared" si="4"/>
        <v>10</v>
      </c>
    </row>
    <row r="109" spans="1:8" x14ac:dyDescent="0.2">
      <c r="A109" s="2">
        <v>8736</v>
      </c>
      <c r="B109" s="3">
        <v>20.75</v>
      </c>
      <c r="G109">
        <f t="shared" si="3"/>
        <v>10</v>
      </c>
      <c r="H109">
        <f t="shared" si="4"/>
        <v>10</v>
      </c>
    </row>
    <row r="110" spans="1:8" x14ac:dyDescent="0.2">
      <c r="A110" s="2">
        <v>8767</v>
      </c>
      <c r="B110" s="3">
        <v>20.78</v>
      </c>
      <c r="G110">
        <f t="shared" si="3"/>
        <v>10</v>
      </c>
      <c r="H110">
        <f t="shared" si="4"/>
        <v>10</v>
      </c>
    </row>
    <row r="111" spans="1:8" x14ac:dyDescent="0.2">
      <c r="A111" s="2">
        <v>8798</v>
      </c>
      <c r="B111" s="3">
        <v>20.78</v>
      </c>
      <c r="G111">
        <f t="shared" si="3"/>
        <v>10</v>
      </c>
      <c r="H111">
        <f t="shared" si="4"/>
        <v>10</v>
      </c>
    </row>
    <row r="112" spans="1:8" x14ac:dyDescent="0.2">
      <c r="A112" s="2">
        <v>8827</v>
      </c>
      <c r="B112" s="3">
        <v>20.78</v>
      </c>
      <c r="G112">
        <f t="shared" si="3"/>
        <v>10</v>
      </c>
      <c r="H112">
        <f t="shared" si="4"/>
        <v>10</v>
      </c>
    </row>
    <row r="113" spans="1:8" x14ac:dyDescent="0.2">
      <c r="A113" s="2">
        <v>8858</v>
      </c>
      <c r="B113" s="3">
        <v>20.78</v>
      </c>
      <c r="G113">
        <f t="shared" si="3"/>
        <v>10</v>
      </c>
      <c r="H113">
        <f t="shared" si="4"/>
        <v>10</v>
      </c>
    </row>
    <row r="114" spans="1:8" x14ac:dyDescent="0.2">
      <c r="A114" s="2">
        <v>8888</v>
      </c>
      <c r="B114" s="3">
        <v>20.78</v>
      </c>
      <c r="G114">
        <f t="shared" si="3"/>
        <v>10</v>
      </c>
      <c r="H114">
        <f t="shared" si="4"/>
        <v>10</v>
      </c>
    </row>
    <row r="115" spans="1:8" x14ac:dyDescent="0.2">
      <c r="A115" s="2">
        <v>8919</v>
      </c>
      <c r="B115" s="3">
        <v>20.78</v>
      </c>
      <c r="G115">
        <f t="shared" si="3"/>
        <v>10</v>
      </c>
      <c r="H115">
        <f t="shared" si="4"/>
        <v>10</v>
      </c>
    </row>
    <row r="116" spans="1:8" x14ac:dyDescent="0.2">
      <c r="A116" s="2">
        <v>8949</v>
      </c>
      <c r="B116" s="3">
        <v>20.78</v>
      </c>
      <c r="G116">
        <f t="shared" si="3"/>
        <v>10</v>
      </c>
      <c r="H116">
        <f t="shared" si="4"/>
        <v>10</v>
      </c>
    </row>
    <row r="117" spans="1:8" x14ac:dyDescent="0.2">
      <c r="A117" s="2">
        <v>8980</v>
      </c>
      <c r="B117" s="3">
        <v>20.78</v>
      </c>
      <c r="G117">
        <f t="shared" si="3"/>
        <v>10</v>
      </c>
      <c r="H117">
        <f t="shared" si="4"/>
        <v>10</v>
      </c>
    </row>
    <row r="118" spans="1:8" x14ac:dyDescent="0.2">
      <c r="A118" s="2">
        <v>9011</v>
      </c>
      <c r="B118" s="3">
        <v>20.78</v>
      </c>
      <c r="G118">
        <f t="shared" si="3"/>
        <v>10</v>
      </c>
      <c r="H118">
        <f t="shared" si="4"/>
        <v>10</v>
      </c>
    </row>
    <row r="119" spans="1:8" x14ac:dyDescent="0.2">
      <c r="A119" s="2">
        <v>9041</v>
      </c>
      <c r="B119" s="3">
        <v>20.78</v>
      </c>
      <c r="G119">
        <f t="shared" si="3"/>
        <v>10</v>
      </c>
      <c r="H119">
        <f t="shared" si="4"/>
        <v>10</v>
      </c>
    </row>
    <row r="120" spans="1:8" x14ac:dyDescent="0.2">
      <c r="A120" s="2">
        <v>9072</v>
      </c>
      <c r="B120" s="3">
        <v>20.78</v>
      </c>
      <c r="G120">
        <f t="shared" si="3"/>
        <v>10</v>
      </c>
      <c r="H120">
        <f t="shared" si="4"/>
        <v>10</v>
      </c>
    </row>
    <row r="121" spans="1:8" x14ac:dyDescent="0.2">
      <c r="A121" s="2">
        <v>9102</v>
      </c>
      <c r="B121" s="3">
        <v>20.78</v>
      </c>
      <c r="G121">
        <f t="shared" si="3"/>
        <v>10</v>
      </c>
      <c r="H121">
        <f t="shared" si="4"/>
        <v>10</v>
      </c>
    </row>
    <row r="122" spans="1:8" x14ac:dyDescent="0.2">
      <c r="A122" s="2">
        <v>9133</v>
      </c>
      <c r="B122" s="3">
        <v>20.75</v>
      </c>
      <c r="G122">
        <f t="shared" si="3"/>
        <v>10</v>
      </c>
      <c r="H122">
        <f t="shared" si="4"/>
        <v>10</v>
      </c>
    </row>
    <row r="123" spans="1:8" x14ac:dyDescent="0.2">
      <c r="A123" s="2">
        <v>9164</v>
      </c>
      <c r="B123" s="3">
        <v>20.75</v>
      </c>
      <c r="G123">
        <f t="shared" si="3"/>
        <v>10</v>
      </c>
      <c r="H123">
        <f t="shared" si="4"/>
        <v>10</v>
      </c>
    </row>
    <row r="124" spans="1:8" x14ac:dyDescent="0.2">
      <c r="A124" s="2">
        <v>9192</v>
      </c>
      <c r="B124" s="3">
        <v>20.75</v>
      </c>
      <c r="G124">
        <f t="shared" si="3"/>
        <v>10</v>
      </c>
      <c r="H124">
        <f t="shared" si="4"/>
        <v>10</v>
      </c>
    </row>
    <row r="125" spans="1:8" x14ac:dyDescent="0.2">
      <c r="A125" s="2">
        <v>9223</v>
      </c>
      <c r="B125" s="3">
        <v>20.75</v>
      </c>
      <c r="G125">
        <f t="shared" si="3"/>
        <v>10</v>
      </c>
      <c r="H125">
        <f t="shared" si="4"/>
        <v>10</v>
      </c>
    </row>
    <row r="126" spans="1:8" x14ac:dyDescent="0.2">
      <c r="A126" s="2">
        <v>9253</v>
      </c>
      <c r="B126" s="3">
        <v>20.75</v>
      </c>
      <c r="G126">
        <f t="shared" si="3"/>
        <v>10</v>
      </c>
      <c r="H126">
        <f t="shared" si="4"/>
        <v>10</v>
      </c>
    </row>
    <row r="127" spans="1:8" x14ac:dyDescent="0.2">
      <c r="A127" s="2">
        <v>9284</v>
      </c>
      <c r="B127" s="3">
        <v>20.75</v>
      </c>
      <c r="G127">
        <f t="shared" si="3"/>
        <v>10</v>
      </c>
      <c r="H127">
        <f t="shared" si="4"/>
        <v>10</v>
      </c>
    </row>
    <row r="128" spans="1:8" x14ac:dyDescent="0.2">
      <c r="A128" s="2">
        <v>9314</v>
      </c>
      <c r="B128" s="3">
        <v>20.75</v>
      </c>
      <c r="G128">
        <f t="shared" si="3"/>
        <v>10</v>
      </c>
      <c r="H128">
        <f t="shared" si="4"/>
        <v>10</v>
      </c>
    </row>
    <row r="129" spans="1:8" x14ac:dyDescent="0.2">
      <c r="A129" s="2">
        <v>9345</v>
      </c>
      <c r="B129" s="3">
        <v>20.75</v>
      </c>
      <c r="G129">
        <f t="shared" si="3"/>
        <v>10</v>
      </c>
      <c r="H129">
        <f t="shared" si="4"/>
        <v>10</v>
      </c>
    </row>
    <row r="130" spans="1:8" x14ac:dyDescent="0.2">
      <c r="A130" s="2">
        <v>9376</v>
      </c>
      <c r="B130" s="3">
        <v>20.75</v>
      </c>
      <c r="G130">
        <f t="shared" si="3"/>
        <v>10</v>
      </c>
      <c r="H130">
        <f t="shared" si="4"/>
        <v>10</v>
      </c>
    </row>
    <row r="131" spans="1:8" x14ac:dyDescent="0.2">
      <c r="A131" s="2">
        <v>9406</v>
      </c>
      <c r="B131" s="3">
        <v>20.75</v>
      </c>
      <c r="G131">
        <f t="shared" ref="G131:G194" si="5">IF(AND(A131&gt;=DATE(1973,1,1), A131&lt;=DATE(1982,12,31)), 10000, 10)</f>
        <v>10</v>
      </c>
      <c r="H131">
        <f t="shared" ref="H131:H194" si="6">IF(AND(A131&gt;=DATE(1983,1,1), A131&lt;=DATE(2007,12,31)), 10000, 10)</f>
        <v>10</v>
      </c>
    </row>
    <row r="132" spans="1:8" x14ac:dyDescent="0.2">
      <c r="A132" s="2">
        <v>9437</v>
      </c>
      <c r="B132" s="3">
        <v>20.75</v>
      </c>
      <c r="G132">
        <f t="shared" si="5"/>
        <v>10</v>
      </c>
      <c r="H132">
        <f t="shared" si="6"/>
        <v>10</v>
      </c>
    </row>
    <row r="133" spans="1:8" x14ac:dyDescent="0.2">
      <c r="A133" s="2">
        <v>9467</v>
      </c>
      <c r="B133" s="3">
        <v>20.75</v>
      </c>
      <c r="G133">
        <f t="shared" si="5"/>
        <v>10</v>
      </c>
      <c r="H133">
        <f t="shared" si="6"/>
        <v>10</v>
      </c>
    </row>
    <row r="134" spans="1:8" x14ac:dyDescent="0.2">
      <c r="A134" s="2">
        <v>9498</v>
      </c>
      <c r="B134" s="3">
        <v>20.72</v>
      </c>
      <c r="G134">
        <f t="shared" si="5"/>
        <v>10</v>
      </c>
      <c r="H134">
        <f t="shared" si="6"/>
        <v>10</v>
      </c>
    </row>
    <row r="135" spans="1:8" x14ac:dyDescent="0.2">
      <c r="A135" s="2">
        <v>9529</v>
      </c>
      <c r="B135" s="3">
        <v>20.72</v>
      </c>
      <c r="G135">
        <f t="shared" si="5"/>
        <v>10</v>
      </c>
      <c r="H135">
        <f t="shared" si="6"/>
        <v>10</v>
      </c>
    </row>
    <row r="136" spans="1:8" x14ac:dyDescent="0.2">
      <c r="A136" s="2">
        <v>9557</v>
      </c>
      <c r="B136" s="3">
        <v>20.72</v>
      </c>
      <c r="G136">
        <f t="shared" si="5"/>
        <v>10</v>
      </c>
      <c r="H136">
        <f t="shared" si="6"/>
        <v>10</v>
      </c>
    </row>
    <row r="137" spans="1:8" x14ac:dyDescent="0.2">
      <c r="A137" s="2">
        <v>9588</v>
      </c>
      <c r="B137" s="3">
        <v>20.72</v>
      </c>
      <c r="G137">
        <f t="shared" si="5"/>
        <v>10</v>
      </c>
      <c r="H137">
        <f t="shared" si="6"/>
        <v>10</v>
      </c>
    </row>
    <row r="138" spans="1:8" x14ac:dyDescent="0.2">
      <c r="A138" s="2">
        <v>9618</v>
      </c>
      <c r="B138" s="3">
        <v>20.72</v>
      </c>
      <c r="G138">
        <f t="shared" si="5"/>
        <v>10</v>
      </c>
      <c r="H138">
        <f t="shared" si="6"/>
        <v>10</v>
      </c>
    </row>
    <row r="139" spans="1:8" x14ac:dyDescent="0.2">
      <c r="A139" s="2">
        <v>9649</v>
      </c>
      <c r="B139" s="3">
        <v>20.72</v>
      </c>
      <c r="G139">
        <f t="shared" si="5"/>
        <v>10</v>
      </c>
      <c r="H139">
        <f t="shared" si="6"/>
        <v>10</v>
      </c>
    </row>
    <row r="140" spans="1:8" x14ac:dyDescent="0.2">
      <c r="A140" s="2">
        <v>9679</v>
      </c>
      <c r="B140" s="3">
        <v>20.72</v>
      </c>
      <c r="G140">
        <f t="shared" si="5"/>
        <v>10</v>
      </c>
      <c r="H140">
        <f t="shared" si="6"/>
        <v>10</v>
      </c>
    </row>
    <row r="141" spans="1:8" x14ac:dyDescent="0.2">
      <c r="A141" s="2">
        <v>9710</v>
      </c>
      <c r="B141" s="3">
        <v>20.72</v>
      </c>
      <c r="G141">
        <f t="shared" si="5"/>
        <v>10</v>
      </c>
      <c r="H141">
        <f t="shared" si="6"/>
        <v>10</v>
      </c>
    </row>
    <row r="142" spans="1:8" x14ac:dyDescent="0.2">
      <c r="A142" s="2">
        <v>9741</v>
      </c>
      <c r="B142" s="3">
        <v>20.72</v>
      </c>
      <c r="G142">
        <f t="shared" si="5"/>
        <v>10</v>
      </c>
      <c r="H142">
        <f t="shared" si="6"/>
        <v>10</v>
      </c>
    </row>
    <row r="143" spans="1:8" x14ac:dyDescent="0.2">
      <c r="A143" s="2">
        <v>9771</v>
      </c>
      <c r="B143" s="3">
        <v>20.72</v>
      </c>
      <c r="G143">
        <f t="shared" si="5"/>
        <v>10</v>
      </c>
      <c r="H143">
        <f t="shared" si="6"/>
        <v>10</v>
      </c>
    </row>
    <row r="144" spans="1:8" x14ac:dyDescent="0.2">
      <c r="A144" s="2">
        <v>9802</v>
      </c>
      <c r="B144" s="3">
        <v>20.72</v>
      </c>
      <c r="G144">
        <f t="shared" si="5"/>
        <v>10</v>
      </c>
      <c r="H144">
        <f t="shared" si="6"/>
        <v>10</v>
      </c>
    </row>
    <row r="145" spans="1:8" x14ac:dyDescent="0.2">
      <c r="A145" s="2">
        <v>9832</v>
      </c>
      <c r="B145" s="3">
        <v>20.72</v>
      </c>
      <c r="G145">
        <f t="shared" si="5"/>
        <v>10</v>
      </c>
      <c r="H145">
        <f t="shared" si="6"/>
        <v>10</v>
      </c>
    </row>
    <row r="146" spans="1:8" x14ac:dyDescent="0.2">
      <c r="A146" s="2">
        <v>9863</v>
      </c>
      <c r="B146" s="3">
        <v>20.75</v>
      </c>
      <c r="G146">
        <f t="shared" si="5"/>
        <v>10</v>
      </c>
      <c r="H146">
        <f t="shared" si="6"/>
        <v>10</v>
      </c>
    </row>
    <row r="147" spans="1:8" x14ac:dyDescent="0.2">
      <c r="A147" s="2">
        <v>9894</v>
      </c>
      <c r="B147" s="3">
        <v>20.75</v>
      </c>
      <c r="G147">
        <f t="shared" si="5"/>
        <v>10</v>
      </c>
      <c r="H147">
        <f t="shared" si="6"/>
        <v>10</v>
      </c>
    </row>
    <row r="148" spans="1:8" x14ac:dyDescent="0.2">
      <c r="A148" s="2">
        <v>9922</v>
      </c>
      <c r="B148" s="3">
        <v>20.75</v>
      </c>
      <c r="G148">
        <f t="shared" si="5"/>
        <v>10</v>
      </c>
      <c r="H148">
        <f t="shared" si="6"/>
        <v>10</v>
      </c>
    </row>
    <row r="149" spans="1:8" x14ac:dyDescent="0.2">
      <c r="A149" s="2">
        <v>9953</v>
      </c>
      <c r="B149" s="3">
        <v>20.75</v>
      </c>
      <c r="G149">
        <f t="shared" si="5"/>
        <v>10</v>
      </c>
      <c r="H149">
        <f t="shared" si="6"/>
        <v>10</v>
      </c>
    </row>
    <row r="150" spans="1:8" x14ac:dyDescent="0.2">
      <c r="A150" s="2">
        <v>9983</v>
      </c>
      <c r="B150" s="3">
        <v>20.75</v>
      </c>
      <c r="G150">
        <f t="shared" si="5"/>
        <v>10</v>
      </c>
      <c r="H150">
        <f t="shared" si="6"/>
        <v>10</v>
      </c>
    </row>
    <row r="151" spans="1:8" x14ac:dyDescent="0.2">
      <c r="A151" s="2">
        <v>10014</v>
      </c>
      <c r="B151" s="3">
        <v>20.75</v>
      </c>
      <c r="G151">
        <f t="shared" si="5"/>
        <v>10</v>
      </c>
      <c r="H151">
        <f t="shared" si="6"/>
        <v>10</v>
      </c>
    </row>
    <row r="152" spans="1:8" x14ac:dyDescent="0.2">
      <c r="A152" s="2">
        <v>10044</v>
      </c>
      <c r="B152" s="3">
        <v>20.75</v>
      </c>
      <c r="G152">
        <f t="shared" si="5"/>
        <v>10</v>
      </c>
      <c r="H152">
        <f t="shared" si="6"/>
        <v>10</v>
      </c>
    </row>
    <row r="153" spans="1:8" x14ac:dyDescent="0.2">
      <c r="A153" s="2">
        <v>10075</v>
      </c>
      <c r="B153" s="3">
        <v>20.75</v>
      </c>
      <c r="G153">
        <f t="shared" si="5"/>
        <v>10</v>
      </c>
      <c r="H153">
        <f t="shared" si="6"/>
        <v>10</v>
      </c>
    </row>
    <row r="154" spans="1:8" x14ac:dyDescent="0.2">
      <c r="A154" s="2">
        <v>10106</v>
      </c>
      <c r="B154" s="3">
        <v>20.75</v>
      </c>
      <c r="G154">
        <f t="shared" si="5"/>
        <v>10</v>
      </c>
      <c r="H154">
        <f t="shared" si="6"/>
        <v>10</v>
      </c>
    </row>
    <row r="155" spans="1:8" x14ac:dyDescent="0.2">
      <c r="A155" s="2">
        <v>10136</v>
      </c>
      <c r="B155" s="3">
        <v>20.75</v>
      </c>
      <c r="G155">
        <f t="shared" si="5"/>
        <v>10</v>
      </c>
      <c r="H155">
        <f t="shared" si="6"/>
        <v>10</v>
      </c>
    </row>
    <row r="156" spans="1:8" x14ac:dyDescent="0.2">
      <c r="A156" s="2">
        <v>10167</v>
      </c>
      <c r="B156" s="3">
        <v>20.75</v>
      </c>
      <c r="G156">
        <f t="shared" si="5"/>
        <v>10</v>
      </c>
      <c r="H156">
        <f t="shared" si="6"/>
        <v>10</v>
      </c>
    </row>
    <row r="157" spans="1:8" x14ac:dyDescent="0.2">
      <c r="A157" s="2">
        <v>10197</v>
      </c>
      <c r="B157" s="3">
        <v>20.75</v>
      </c>
      <c r="G157">
        <f t="shared" si="5"/>
        <v>10</v>
      </c>
      <c r="H157">
        <f t="shared" si="6"/>
        <v>10</v>
      </c>
    </row>
    <row r="158" spans="1:8" x14ac:dyDescent="0.2">
      <c r="A158" s="2">
        <v>10228</v>
      </c>
      <c r="B158" s="3">
        <v>20.78</v>
      </c>
      <c r="C158" s="2">
        <v>10227</v>
      </c>
      <c r="D158" s="3">
        <v>17.66</v>
      </c>
      <c r="G158">
        <f t="shared" si="5"/>
        <v>10</v>
      </c>
      <c r="H158">
        <f t="shared" si="6"/>
        <v>10</v>
      </c>
    </row>
    <row r="159" spans="1:8" x14ac:dyDescent="0.2">
      <c r="A159" s="2">
        <v>10259</v>
      </c>
      <c r="B159" s="3">
        <v>20.78</v>
      </c>
      <c r="C159" s="2">
        <v>10258</v>
      </c>
      <c r="D159" s="3">
        <v>17.57</v>
      </c>
      <c r="G159">
        <f t="shared" si="5"/>
        <v>10</v>
      </c>
      <c r="H159">
        <f t="shared" si="6"/>
        <v>10</v>
      </c>
    </row>
    <row r="160" spans="1:8" x14ac:dyDescent="0.2">
      <c r="A160" s="2">
        <v>10288</v>
      </c>
      <c r="B160" s="3">
        <v>20.78</v>
      </c>
      <c r="C160" s="2">
        <v>10287</v>
      </c>
      <c r="D160" s="3">
        <v>17.260000000000002</v>
      </c>
      <c r="G160">
        <f t="shared" si="5"/>
        <v>10</v>
      </c>
      <c r="H160">
        <f t="shared" si="6"/>
        <v>10</v>
      </c>
    </row>
    <row r="161" spans="1:8" x14ac:dyDescent="0.2">
      <c r="A161" s="2">
        <v>10319</v>
      </c>
      <c r="B161" s="3">
        <v>20.78</v>
      </c>
      <c r="C161" s="2">
        <v>10318</v>
      </c>
      <c r="D161" s="3">
        <v>19.28</v>
      </c>
      <c r="G161">
        <f t="shared" si="5"/>
        <v>10</v>
      </c>
      <c r="H161">
        <f t="shared" si="6"/>
        <v>10</v>
      </c>
    </row>
    <row r="162" spans="1:8" x14ac:dyDescent="0.2">
      <c r="A162" s="2">
        <v>10349</v>
      </c>
      <c r="B162" s="3">
        <v>20.78</v>
      </c>
      <c r="C162" s="2">
        <v>10348</v>
      </c>
      <c r="D162" s="3">
        <v>19.75</v>
      </c>
      <c r="G162">
        <f t="shared" si="5"/>
        <v>10</v>
      </c>
      <c r="H162">
        <f t="shared" si="6"/>
        <v>10</v>
      </c>
    </row>
    <row r="163" spans="1:8" x14ac:dyDescent="0.2">
      <c r="A163" s="2">
        <v>10380</v>
      </c>
      <c r="B163" s="3">
        <v>20.78</v>
      </c>
      <c r="C163" s="2">
        <v>10379</v>
      </c>
      <c r="D163" s="3">
        <v>20</v>
      </c>
      <c r="G163">
        <f t="shared" si="5"/>
        <v>10</v>
      </c>
      <c r="H163">
        <f t="shared" si="6"/>
        <v>10</v>
      </c>
    </row>
    <row r="164" spans="1:8" x14ac:dyDescent="0.2">
      <c r="A164" s="2">
        <v>10410</v>
      </c>
      <c r="B164" s="3">
        <v>20.78</v>
      </c>
      <c r="C164" s="2">
        <v>10409</v>
      </c>
      <c r="D164" s="3">
        <v>19.14</v>
      </c>
      <c r="G164">
        <f t="shared" si="5"/>
        <v>10</v>
      </c>
      <c r="H164">
        <f t="shared" si="6"/>
        <v>10</v>
      </c>
    </row>
    <row r="165" spans="1:8" x14ac:dyDescent="0.2">
      <c r="A165" s="2">
        <v>10441</v>
      </c>
      <c r="B165" s="3">
        <v>20.78</v>
      </c>
      <c r="C165" s="2">
        <v>10440</v>
      </c>
      <c r="D165" s="3">
        <v>19.43</v>
      </c>
      <c r="G165">
        <f t="shared" si="5"/>
        <v>10</v>
      </c>
      <c r="H165">
        <f t="shared" si="6"/>
        <v>10</v>
      </c>
    </row>
    <row r="166" spans="1:8" x14ac:dyDescent="0.2">
      <c r="A166" s="2">
        <v>10472</v>
      </c>
      <c r="B166" s="3">
        <v>20.78</v>
      </c>
      <c r="C166" s="2">
        <v>10471</v>
      </c>
      <c r="D166" s="3">
        <v>20.87</v>
      </c>
      <c r="G166">
        <f t="shared" si="5"/>
        <v>10</v>
      </c>
      <c r="H166">
        <f t="shared" si="6"/>
        <v>10</v>
      </c>
    </row>
    <row r="167" spans="1:8" x14ac:dyDescent="0.2">
      <c r="A167" s="2">
        <v>10502</v>
      </c>
      <c r="B167" s="3">
        <v>20.78</v>
      </c>
      <c r="C167" s="2">
        <v>10500</v>
      </c>
      <c r="D167" s="3">
        <v>21.14</v>
      </c>
      <c r="G167">
        <f t="shared" si="5"/>
        <v>10</v>
      </c>
      <c r="H167">
        <f t="shared" si="6"/>
        <v>10</v>
      </c>
    </row>
    <row r="168" spans="1:8" x14ac:dyDescent="0.2">
      <c r="A168" s="2">
        <v>10533</v>
      </c>
      <c r="B168" s="3">
        <v>20.78</v>
      </c>
      <c r="C168" s="2">
        <v>10532</v>
      </c>
      <c r="D168" s="3">
        <v>21.68</v>
      </c>
      <c r="G168">
        <f t="shared" si="5"/>
        <v>10</v>
      </c>
      <c r="H168">
        <f t="shared" si="6"/>
        <v>10</v>
      </c>
    </row>
    <row r="169" spans="1:8" x14ac:dyDescent="0.2">
      <c r="A169" s="2">
        <v>10563</v>
      </c>
      <c r="B169" s="3">
        <v>20.78</v>
      </c>
      <c r="C169" s="2">
        <v>10562</v>
      </c>
      <c r="D169" s="3">
        <v>24.28</v>
      </c>
      <c r="G169">
        <f t="shared" si="5"/>
        <v>10</v>
      </c>
      <c r="H169">
        <f t="shared" si="6"/>
        <v>10</v>
      </c>
    </row>
    <row r="170" spans="1:8" x14ac:dyDescent="0.2">
      <c r="A170" s="2">
        <v>10594</v>
      </c>
      <c r="B170" s="3">
        <v>20.72</v>
      </c>
      <c r="C170" s="2">
        <v>10593</v>
      </c>
      <c r="D170" s="3">
        <v>24.35</v>
      </c>
      <c r="G170">
        <f t="shared" si="5"/>
        <v>10</v>
      </c>
      <c r="H170">
        <f t="shared" si="6"/>
        <v>10</v>
      </c>
    </row>
    <row r="171" spans="1:8" x14ac:dyDescent="0.2">
      <c r="A171" s="2">
        <v>10625</v>
      </c>
      <c r="B171" s="3">
        <v>20.72</v>
      </c>
      <c r="C171" s="2">
        <v>10624</v>
      </c>
      <c r="D171" s="3">
        <v>25.74</v>
      </c>
      <c r="G171">
        <f t="shared" si="5"/>
        <v>10</v>
      </c>
      <c r="H171">
        <f t="shared" si="6"/>
        <v>10</v>
      </c>
    </row>
    <row r="172" spans="1:8" x14ac:dyDescent="0.2">
      <c r="A172" s="2">
        <v>10653</v>
      </c>
      <c r="B172" s="3">
        <v>20.72</v>
      </c>
      <c r="C172" s="2">
        <v>10652</v>
      </c>
      <c r="D172" s="3">
        <v>25.59</v>
      </c>
      <c r="G172">
        <f t="shared" si="5"/>
        <v>10</v>
      </c>
      <c r="H172">
        <f t="shared" si="6"/>
        <v>10</v>
      </c>
    </row>
    <row r="173" spans="1:8" x14ac:dyDescent="0.2">
      <c r="A173" s="2">
        <v>10684</v>
      </c>
      <c r="B173" s="3">
        <v>20.72</v>
      </c>
      <c r="C173" s="2">
        <v>10680</v>
      </c>
      <c r="D173" s="3">
        <v>25.53</v>
      </c>
      <c r="G173">
        <f t="shared" si="5"/>
        <v>10</v>
      </c>
      <c r="H173">
        <f t="shared" si="6"/>
        <v>10</v>
      </c>
    </row>
    <row r="174" spans="1:8" x14ac:dyDescent="0.2">
      <c r="A174" s="2">
        <v>10714</v>
      </c>
      <c r="B174" s="3">
        <v>20.72</v>
      </c>
      <c r="C174" s="2">
        <v>10713</v>
      </c>
      <c r="D174" s="3">
        <v>25.94</v>
      </c>
      <c r="G174">
        <f t="shared" si="5"/>
        <v>10</v>
      </c>
      <c r="H174">
        <f t="shared" si="6"/>
        <v>10</v>
      </c>
    </row>
    <row r="175" spans="1:8" x14ac:dyDescent="0.2">
      <c r="A175" s="2">
        <v>10745</v>
      </c>
      <c r="B175" s="3">
        <v>20.72</v>
      </c>
      <c r="C175" s="2">
        <v>10744</v>
      </c>
      <c r="D175" s="3">
        <v>24.83</v>
      </c>
      <c r="G175">
        <f t="shared" si="5"/>
        <v>10</v>
      </c>
      <c r="H175">
        <f t="shared" si="6"/>
        <v>10</v>
      </c>
    </row>
    <row r="176" spans="1:8" x14ac:dyDescent="0.2">
      <c r="A176" s="2">
        <v>10775</v>
      </c>
      <c r="B176" s="3">
        <v>20.72</v>
      </c>
      <c r="C176" s="2">
        <v>10773</v>
      </c>
      <c r="D176" s="3">
        <v>27.41</v>
      </c>
      <c r="G176">
        <f t="shared" si="5"/>
        <v>10</v>
      </c>
      <c r="H176">
        <f t="shared" si="6"/>
        <v>10</v>
      </c>
    </row>
    <row r="177" spans="1:8" x14ac:dyDescent="0.2">
      <c r="A177" s="2">
        <v>10806</v>
      </c>
      <c r="B177" s="3">
        <v>20.72</v>
      </c>
      <c r="C177" s="2">
        <v>10805</v>
      </c>
      <c r="D177" s="3">
        <v>28.88</v>
      </c>
      <c r="G177">
        <f t="shared" si="5"/>
        <v>10</v>
      </c>
      <c r="H177">
        <f t="shared" si="6"/>
        <v>10</v>
      </c>
    </row>
    <row r="178" spans="1:8" x14ac:dyDescent="0.2">
      <c r="A178" s="2">
        <v>10837</v>
      </c>
      <c r="B178" s="3">
        <v>20.72</v>
      </c>
      <c r="C178" s="2">
        <v>10835</v>
      </c>
      <c r="D178" s="3">
        <v>31.71</v>
      </c>
      <c r="G178">
        <f t="shared" si="5"/>
        <v>10</v>
      </c>
      <c r="H178">
        <f t="shared" si="6"/>
        <v>10</v>
      </c>
    </row>
    <row r="179" spans="1:8" x14ac:dyDescent="0.2">
      <c r="A179" s="2">
        <v>10867</v>
      </c>
      <c r="B179" s="3">
        <v>20.72</v>
      </c>
      <c r="C179" s="2">
        <v>10866</v>
      </c>
      <c r="D179" s="3">
        <v>30.16</v>
      </c>
      <c r="G179">
        <f t="shared" si="5"/>
        <v>10</v>
      </c>
      <c r="H179">
        <f t="shared" si="6"/>
        <v>10</v>
      </c>
    </row>
    <row r="180" spans="1:8" x14ac:dyDescent="0.2">
      <c r="A180" s="2">
        <v>10898</v>
      </c>
      <c r="B180" s="3">
        <v>20.72</v>
      </c>
      <c r="C180" s="2">
        <v>10897</v>
      </c>
      <c r="D180" s="3">
        <v>24.15</v>
      </c>
      <c r="G180">
        <f t="shared" si="5"/>
        <v>10</v>
      </c>
      <c r="H180">
        <f t="shared" si="6"/>
        <v>10</v>
      </c>
    </row>
    <row r="181" spans="1:8" x14ac:dyDescent="0.2">
      <c r="A181" s="2">
        <v>10928</v>
      </c>
      <c r="B181" s="3">
        <v>20.72</v>
      </c>
      <c r="C181" s="2">
        <v>10924</v>
      </c>
      <c r="D181" s="3">
        <v>20.92</v>
      </c>
      <c r="G181">
        <f t="shared" si="5"/>
        <v>10</v>
      </c>
      <c r="H181">
        <f t="shared" si="6"/>
        <v>10</v>
      </c>
    </row>
    <row r="182" spans="1:8" x14ac:dyDescent="0.2">
      <c r="A182" s="2">
        <v>10959</v>
      </c>
      <c r="B182" s="3">
        <v>20.69</v>
      </c>
      <c r="C182" s="2">
        <v>10958</v>
      </c>
      <c r="D182" s="3">
        <v>21.45</v>
      </c>
      <c r="G182">
        <f t="shared" si="5"/>
        <v>10</v>
      </c>
      <c r="H182">
        <f t="shared" si="6"/>
        <v>10</v>
      </c>
    </row>
    <row r="183" spans="1:8" x14ac:dyDescent="0.2">
      <c r="A183" s="2">
        <v>10990</v>
      </c>
      <c r="B183" s="3">
        <v>20.69</v>
      </c>
      <c r="C183" s="2">
        <v>10989</v>
      </c>
      <c r="D183" s="3">
        <v>22.79</v>
      </c>
      <c r="G183">
        <f t="shared" si="5"/>
        <v>10</v>
      </c>
      <c r="H183">
        <f t="shared" si="6"/>
        <v>10</v>
      </c>
    </row>
    <row r="184" spans="1:8" x14ac:dyDescent="0.2">
      <c r="A184" s="2">
        <v>11018</v>
      </c>
      <c r="B184" s="3">
        <v>20.69</v>
      </c>
      <c r="C184" s="2">
        <v>11017</v>
      </c>
      <c r="D184" s="3">
        <v>23.28</v>
      </c>
      <c r="G184">
        <f t="shared" si="5"/>
        <v>10</v>
      </c>
      <c r="H184">
        <f t="shared" si="6"/>
        <v>10</v>
      </c>
    </row>
    <row r="185" spans="1:8" x14ac:dyDescent="0.2">
      <c r="A185" s="2">
        <v>11049</v>
      </c>
      <c r="B185" s="3">
        <v>20.69</v>
      </c>
      <c r="C185" s="2">
        <v>11048</v>
      </c>
      <c r="D185" s="3">
        <v>24.15</v>
      </c>
      <c r="G185">
        <f t="shared" si="5"/>
        <v>10</v>
      </c>
      <c r="H185">
        <f t="shared" si="6"/>
        <v>10</v>
      </c>
    </row>
    <row r="186" spans="1:8" x14ac:dyDescent="0.2">
      <c r="A186" s="2">
        <v>11079</v>
      </c>
      <c r="B186" s="3">
        <v>20.69</v>
      </c>
      <c r="C186" s="2">
        <v>11078</v>
      </c>
      <c r="D186" s="3">
        <v>24.9</v>
      </c>
      <c r="G186">
        <f t="shared" si="5"/>
        <v>10</v>
      </c>
      <c r="H186">
        <f t="shared" si="6"/>
        <v>10</v>
      </c>
    </row>
    <row r="187" spans="1:8" x14ac:dyDescent="0.2">
      <c r="A187" s="2">
        <v>11110</v>
      </c>
      <c r="B187" s="3">
        <v>20.69</v>
      </c>
      <c r="C187" s="2">
        <v>11107</v>
      </c>
      <c r="D187" s="3">
        <v>24.49</v>
      </c>
      <c r="G187">
        <f t="shared" si="5"/>
        <v>10</v>
      </c>
      <c r="H187">
        <f t="shared" si="6"/>
        <v>10</v>
      </c>
    </row>
    <row r="188" spans="1:8" x14ac:dyDescent="0.2">
      <c r="A188" s="2">
        <v>11140</v>
      </c>
      <c r="B188" s="3">
        <v>20.69</v>
      </c>
      <c r="C188" s="2">
        <v>11139</v>
      </c>
      <c r="D188" s="3">
        <v>20.46</v>
      </c>
      <c r="G188">
        <f t="shared" si="5"/>
        <v>10</v>
      </c>
      <c r="H188">
        <f t="shared" si="6"/>
        <v>10</v>
      </c>
    </row>
    <row r="189" spans="1:8" x14ac:dyDescent="0.2">
      <c r="A189" s="2">
        <v>11171</v>
      </c>
      <c r="B189" s="3">
        <v>20.69</v>
      </c>
      <c r="C189" s="2">
        <v>11170</v>
      </c>
      <c r="D189" s="3">
        <v>21.21</v>
      </c>
      <c r="G189">
        <f t="shared" si="5"/>
        <v>10</v>
      </c>
      <c r="H189">
        <f t="shared" si="6"/>
        <v>10</v>
      </c>
    </row>
    <row r="190" spans="1:8" x14ac:dyDescent="0.2">
      <c r="A190" s="2">
        <v>11202</v>
      </c>
      <c r="B190" s="3">
        <v>20.69</v>
      </c>
      <c r="C190" s="2">
        <v>11199</v>
      </c>
      <c r="D190" s="3">
        <v>21.37</v>
      </c>
      <c r="G190">
        <f t="shared" si="5"/>
        <v>10</v>
      </c>
      <c r="H190">
        <f t="shared" si="6"/>
        <v>10</v>
      </c>
    </row>
    <row r="191" spans="1:8" x14ac:dyDescent="0.2">
      <c r="A191" s="2">
        <v>11232</v>
      </c>
      <c r="B191" s="3">
        <v>20.69</v>
      </c>
      <c r="C191" s="2">
        <v>11231</v>
      </c>
      <c r="D191" s="3">
        <v>18.59</v>
      </c>
      <c r="G191">
        <f t="shared" si="5"/>
        <v>10</v>
      </c>
      <c r="H191">
        <f t="shared" si="6"/>
        <v>10</v>
      </c>
    </row>
    <row r="192" spans="1:8" x14ac:dyDescent="0.2">
      <c r="A192" s="2">
        <v>11263</v>
      </c>
      <c r="B192" s="3">
        <v>20.69</v>
      </c>
      <c r="C192" s="2">
        <v>11262</v>
      </c>
      <c r="D192" s="3">
        <v>16.940000000000001</v>
      </c>
      <c r="G192">
        <f t="shared" si="5"/>
        <v>10</v>
      </c>
      <c r="H192">
        <f t="shared" si="6"/>
        <v>10</v>
      </c>
    </row>
    <row r="193" spans="1:8" x14ac:dyDescent="0.2">
      <c r="A193" s="2">
        <v>11293</v>
      </c>
      <c r="B193" s="3">
        <v>20.69</v>
      </c>
      <c r="C193" s="2">
        <v>11291</v>
      </c>
      <c r="D193" s="3">
        <v>16.57</v>
      </c>
      <c r="G193">
        <f t="shared" si="5"/>
        <v>10</v>
      </c>
      <c r="H193">
        <f t="shared" si="6"/>
        <v>10</v>
      </c>
    </row>
    <row r="194" spans="1:8" x14ac:dyDescent="0.2">
      <c r="A194" s="2">
        <v>11324</v>
      </c>
      <c r="B194" s="3">
        <v>22.59</v>
      </c>
      <c r="C194" s="2">
        <v>11323</v>
      </c>
      <c r="D194" s="3">
        <v>15.34</v>
      </c>
      <c r="G194">
        <f t="shared" si="5"/>
        <v>10</v>
      </c>
      <c r="H194">
        <f t="shared" si="6"/>
        <v>10</v>
      </c>
    </row>
    <row r="195" spans="1:8" x14ac:dyDescent="0.2">
      <c r="A195" s="2">
        <v>11355</v>
      </c>
      <c r="B195" s="3">
        <v>22.59</v>
      </c>
      <c r="C195" s="2">
        <v>11354</v>
      </c>
      <c r="D195" s="3">
        <v>16.09</v>
      </c>
      <c r="G195">
        <f t="shared" ref="G195:G258" si="7">IF(AND(A195&gt;=DATE(1973,1,1), A195&lt;=DATE(1982,12,31)), 10000, 10)</f>
        <v>10</v>
      </c>
      <c r="H195">
        <f t="shared" ref="H195:H258" si="8">IF(AND(A195&gt;=DATE(1983,1,1), A195&lt;=DATE(2007,12,31)), 10000, 10)</f>
        <v>10</v>
      </c>
    </row>
    <row r="196" spans="1:8" x14ac:dyDescent="0.2">
      <c r="A196" s="2">
        <v>11383</v>
      </c>
      <c r="B196" s="3">
        <v>22.59</v>
      </c>
      <c r="C196" s="2">
        <v>11382</v>
      </c>
      <c r="D196" s="3">
        <v>17.93</v>
      </c>
      <c r="G196">
        <f t="shared" si="7"/>
        <v>10</v>
      </c>
      <c r="H196">
        <f t="shared" si="8"/>
        <v>10</v>
      </c>
    </row>
    <row r="197" spans="1:8" x14ac:dyDescent="0.2">
      <c r="A197" s="2">
        <v>11414</v>
      </c>
      <c r="B197" s="3">
        <v>22.59</v>
      </c>
      <c r="C197" s="2">
        <v>11413</v>
      </c>
      <c r="D197" s="3">
        <v>16.690000000000001</v>
      </c>
      <c r="G197">
        <f t="shared" si="7"/>
        <v>10</v>
      </c>
      <c r="H197">
        <f t="shared" si="8"/>
        <v>10</v>
      </c>
    </row>
    <row r="198" spans="1:8" x14ac:dyDescent="0.2">
      <c r="A198" s="2">
        <v>11444</v>
      </c>
      <c r="B198" s="3">
        <v>22.59</v>
      </c>
      <c r="C198" s="2">
        <v>11443</v>
      </c>
      <c r="D198" s="3">
        <v>15.09</v>
      </c>
      <c r="G198">
        <f t="shared" si="7"/>
        <v>10</v>
      </c>
      <c r="H198">
        <f t="shared" si="8"/>
        <v>10</v>
      </c>
    </row>
    <row r="199" spans="1:8" x14ac:dyDescent="0.2">
      <c r="A199" s="2">
        <v>11475</v>
      </c>
      <c r="B199" s="3">
        <v>22.59</v>
      </c>
      <c r="C199" s="2">
        <v>11472</v>
      </c>
      <c r="D199" s="3">
        <v>13.02</v>
      </c>
      <c r="G199">
        <f t="shared" si="7"/>
        <v>10</v>
      </c>
      <c r="H199">
        <f t="shared" si="8"/>
        <v>10</v>
      </c>
    </row>
    <row r="200" spans="1:8" x14ac:dyDescent="0.2">
      <c r="A200" s="2">
        <v>11505</v>
      </c>
      <c r="B200" s="3">
        <v>22.59</v>
      </c>
      <c r="C200" s="2">
        <v>11504</v>
      </c>
      <c r="D200" s="3">
        <v>14.83</v>
      </c>
      <c r="G200">
        <f t="shared" si="7"/>
        <v>10</v>
      </c>
      <c r="H200">
        <f t="shared" si="8"/>
        <v>10</v>
      </c>
    </row>
    <row r="201" spans="1:8" x14ac:dyDescent="0.2">
      <c r="A201" s="2">
        <v>11536</v>
      </c>
      <c r="B201" s="3">
        <v>22.59</v>
      </c>
      <c r="C201" s="2">
        <v>11535</v>
      </c>
      <c r="D201" s="3">
        <v>13.73</v>
      </c>
      <c r="G201">
        <f t="shared" si="7"/>
        <v>10</v>
      </c>
      <c r="H201">
        <f t="shared" si="8"/>
        <v>10</v>
      </c>
    </row>
    <row r="202" spans="1:8" x14ac:dyDescent="0.2">
      <c r="A202" s="2">
        <v>11567</v>
      </c>
      <c r="B202" s="3">
        <v>22.59</v>
      </c>
      <c r="C202" s="2">
        <v>11566</v>
      </c>
      <c r="D202" s="3">
        <v>13.86</v>
      </c>
      <c r="G202">
        <f t="shared" si="7"/>
        <v>10</v>
      </c>
      <c r="H202">
        <f t="shared" si="8"/>
        <v>10</v>
      </c>
    </row>
    <row r="203" spans="1:8" x14ac:dyDescent="0.2">
      <c r="A203" s="2">
        <v>11597</v>
      </c>
      <c r="B203" s="3">
        <v>22.59</v>
      </c>
      <c r="C203" s="2">
        <v>11596</v>
      </c>
      <c r="D203" s="3">
        <v>9.7100000000000009</v>
      </c>
      <c r="G203">
        <f t="shared" si="7"/>
        <v>10</v>
      </c>
      <c r="H203">
        <f t="shared" si="8"/>
        <v>10</v>
      </c>
    </row>
    <row r="204" spans="1:8" x14ac:dyDescent="0.2">
      <c r="A204" s="2">
        <v>11628</v>
      </c>
      <c r="B204" s="3">
        <v>22.59</v>
      </c>
      <c r="C204" s="2">
        <v>11627</v>
      </c>
      <c r="D204" s="3">
        <v>10.53</v>
      </c>
      <c r="G204">
        <f t="shared" si="7"/>
        <v>10</v>
      </c>
      <c r="H204">
        <f t="shared" si="8"/>
        <v>10</v>
      </c>
    </row>
    <row r="205" spans="1:8" x14ac:dyDescent="0.2">
      <c r="A205" s="2">
        <v>11658</v>
      </c>
      <c r="B205" s="3">
        <v>22.59</v>
      </c>
      <c r="C205" s="2">
        <v>11657</v>
      </c>
      <c r="D205" s="3">
        <v>9.5</v>
      </c>
      <c r="G205">
        <f t="shared" si="7"/>
        <v>10</v>
      </c>
      <c r="H205">
        <f t="shared" si="8"/>
        <v>10</v>
      </c>
    </row>
    <row r="206" spans="1:8" x14ac:dyDescent="0.2">
      <c r="A206" s="2">
        <v>11689</v>
      </c>
      <c r="B206" s="3">
        <v>20.78</v>
      </c>
      <c r="C206" s="2">
        <v>11688</v>
      </c>
      <c r="D206" s="3">
        <v>8.1199999999999992</v>
      </c>
      <c r="G206">
        <f t="shared" si="7"/>
        <v>10</v>
      </c>
      <c r="H206">
        <f t="shared" si="8"/>
        <v>10</v>
      </c>
    </row>
    <row r="207" spans="1:8" x14ac:dyDescent="0.2">
      <c r="A207" s="2">
        <v>11720</v>
      </c>
      <c r="B207" s="3">
        <v>20.78</v>
      </c>
      <c r="C207" s="2">
        <v>11718</v>
      </c>
      <c r="D207" s="3">
        <v>7.89</v>
      </c>
      <c r="G207">
        <f t="shared" si="7"/>
        <v>10</v>
      </c>
      <c r="H207">
        <f t="shared" si="8"/>
        <v>10</v>
      </c>
    </row>
    <row r="208" spans="1:8" x14ac:dyDescent="0.2">
      <c r="A208" s="2">
        <v>11749</v>
      </c>
      <c r="B208" s="3">
        <v>20.78</v>
      </c>
      <c r="C208" s="2">
        <v>11748</v>
      </c>
      <c r="D208" s="3">
        <v>8.2899999999999991</v>
      </c>
      <c r="G208">
        <f t="shared" si="7"/>
        <v>10</v>
      </c>
      <c r="H208">
        <f t="shared" si="8"/>
        <v>10</v>
      </c>
    </row>
    <row r="209" spans="1:8" x14ac:dyDescent="0.2">
      <c r="A209" s="2">
        <v>11780</v>
      </c>
      <c r="B209" s="3">
        <v>20.78</v>
      </c>
      <c r="C209" s="2">
        <v>11779</v>
      </c>
      <c r="D209" s="3">
        <v>7.31</v>
      </c>
      <c r="G209">
        <f t="shared" si="7"/>
        <v>10</v>
      </c>
      <c r="H209">
        <f t="shared" si="8"/>
        <v>10</v>
      </c>
    </row>
    <row r="210" spans="1:8" x14ac:dyDescent="0.2">
      <c r="A210" s="2">
        <v>11810</v>
      </c>
      <c r="B210" s="3">
        <v>20.78</v>
      </c>
      <c r="C210" s="2">
        <v>11809</v>
      </c>
      <c r="D210" s="3">
        <v>5.83</v>
      </c>
      <c r="G210">
        <f t="shared" si="7"/>
        <v>10</v>
      </c>
      <c r="H210">
        <f t="shared" si="8"/>
        <v>10</v>
      </c>
    </row>
    <row r="211" spans="1:8" x14ac:dyDescent="0.2">
      <c r="A211" s="2">
        <v>11841</v>
      </c>
      <c r="B211" s="3">
        <v>20.78</v>
      </c>
      <c r="C211" s="2">
        <v>11840</v>
      </c>
      <c r="D211" s="3">
        <v>4.47</v>
      </c>
      <c r="G211">
        <f t="shared" si="7"/>
        <v>10</v>
      </c>
      <c r="H211">
        <f t="shared" si="8"/>
        <v>10</v>
      </c>
    </row>
    <row r="212" spans="1:8" x14ac:dyDescent="0.2">
      <c r="A212" s="2">
        <v>11871</v>
      </c>
      <c r="B212" s="3">
        <v>20.78</v>
      </c>
      <c r="C212" s="2">
        <v>11870</v>
      </c>
      <c r="D212" s="3">
        <v>4.43</v>
      </c>
      <c r="G212">
        <f t="shared" si="7"/>
        <v>10</v>
      </c>
      <c r="H212">
        <f t="shared" si="8"/>
        <v>10</v>
      </c>
    </row>
    <row r="213" spans="1:8" x14ac:dyDescent="0.2">
      <c r="A213" s="2">
        <v>11902</v>
      </c>
      <c r="B213" s="3">
        <v>20.78</v>
      </c>
      <c r="C213" s="2">
        <v>11900</v>
      </c>
      <c r="D213" s="3">
        <v>6.1</v>
      </c>
      <c r="G213">
        <f t="shared" si="7"/>
        <v>10</v>
      </c>
      <c r="H213">
        <f t="shared" si="8"/>
        <v>10</v>
      </c>
    </row>
    <row r="214" spans="1:8" x14ac:dyDescent="0.2">
      <c r="A214" s="2">
        <v>11933</v>
      </c>
      <c r="B214" s="3">
        <v>20.78</v>
      </c>
      <c r="C214" s="2">
        <v>11932</v>
      </c>
      <c r="D214" s="3">
        <v>8.39</v>
      </c>
      <c r="G214">
        <f t="shared" si="7"/>
        <v>10</v>
      </c>
      <c r="H214">
        <f t="shared" si="8"/>
        <v>10</v>
      </c>
    </row>
    <row r="215" spans="1:8" x14ac:dyDescent="0.2">
      <c r="A215" s="2">
        <v>11963</v>
      </c>
      <c r="B215" s="3">
        <v>20.78</v>
      </c>
      <c r="C215" s="2">
        <v>11962</v>
      </c>
      <c r="D215" s="3">
        <v>8.08</v>
      </c>
      <c r="G215">
        <f t="shared" si="7"/>
        <v>10</v>
      </c>
      <c r="H215">
        <f t="shared" si="8"/>
        <v>10</v>
      </c>
    </row>
    <row r="216" spans="1:8" x14ac:dyDescent="0.2">
      <c r="A216" s="2">
        <v>11994</v>
      </c>
      <c r="B216" s="3">
        <v>20.78</v>
      </c>
      <c r="C216" s="2">
        <v>11993</v>
      </c>
      <c r="D216" s="3">
        <v>6.96</v>
      </c>
      <c r="G216">
        <f t="shared" si="7"/>
        <v>10</v>
      </c>
      <c r="H216">
        <f t="shared" si="8"/>
        <v>10</v>
      </c>
    </row>
    <row r="217" spans="1:8" x14ac:dyDescent="0.2">
      <c r="A217" s="2">
        <v>12024</v>
      </c>
      <c r="B217" s="3">
        <v>20.78</v>
      </c>
      <c r="C217" s="2">
        <v>12023</v>
      </c>
      <c r="D217" s="3">
        <v>6.55</v>
      </c>
      <c r="G217">
        <f t="shared" si="7"/>
        <v>10</v>
      </c>
      <c r="H217">
        <f t="shared" si="8"/>
        <v>10</v>
      </c>
    </row>
    <row r="218" spans="1:8" x14ac:dyDescent="0.2">
      <c r="A218" s="2">
        <v>12055</v>
      </c>
      <c r="B218" s="3">
        <v>26.47</v>
      </c>
      <c r="C218" s="2">
        <v>12054</v>
      </c>
      <c r="D218" s="3">
        <v>6.89</v>
      </c>
      <c r="G218">
        <f t="shared" si="7"/>
        <v>10</v>
      </c>
      <c r="H218">
        <f t="shared" si="8"/>
        <v>10</v>
      </c>
    </row>
    <row r="219" spans="1:8" x14ac:dyDescent="0.2">
      <c r="A219" s="2">
        <v>12086</v>
      </c>
      <c r="B219" s="3">
        <v>26.47</v>
      </c>
      <c r="C219" s="2">
        <v>12085</v>
      </c>
      <c r="D219" s="3">
        <v>6.94</v>
      </c>
      <c r="G219">
        <f t="shared" si="7"/>
        <v>10</v>
      </c>
      <c r="H219">
        <f t="shared" si="8"/>
        <v>10</v>
      </c>
    </row>
    <row r="220" spans="1:8" x14ac:dyDescent="0.2">
      <c r="A220" s="2">
        <v>12114</v>
      </c>
      <c r="B220" s="3">
        <v>26.47</v>
      </c>
      <c r="C220" s="2">
        <v>12113</v>
      </c>
      <c r="D220" s="3">
        <v>5.66</v>
      </c>
      <c r="G220">
        <f t="shared" si="7"/>
        <v>10</v>
      </c>
      <c r="H220">
        <f t="shared" si="8"/>
        <v>10</v>
      </c>
    </row>
    <row r="221" spans="1:8" x14ac:dyDescent="0.2">
      <c r="A221" s="2">
        <v>12145</v>
      </c>
      <c r="B221" s="3">
        <v>26.47</v>
      </c>
      <c r="C221" s="2">
        <v>12144</v>
      </c>
      <c r="D221" s="3">
        <v>5.85</v>
      </c>
      <c r="G221">
        <f t="shared" si="7"/>
        <v>10</v>
      </c>
      <c r="H221">
        <f t="shared" si="8"/>
        <v>10</v>
      </c>
    </row>
    <row r="222" spans="1:8" x14ac:dyDescent="0.2">
      <c r="A222" s="2">
        <v>12175</v>
      </c>
      <c r="B222" s="3">
        <v>26.47</v>
      </c>
      <c r="C222" s="2">
        <v>12173</v>
      </c>
      <c r="D222" s="3">
        <v>8.32</v>
      </c>
      <c r="G222">
        <f t="shared" si="7"/>
        <v>10</v>
      </c>
      <c r="H222">
        <f t="shared" si="8"/>
        <v>10</v>
      </c>
    </row>
    <row r="223" spans="1:8" x14ac:dyDescent="0.2">
      <c r="A223" s="2">
        <v>12206</v>
      </c>
      <c r="B223" s="3">
        <v>26.47</v>
      </c>
      <c r="C223" s="2">
        <v>12205</v>
      </c>
      <c r="D223" s="3">
        <v>9.64</v>
      </c>
      <c r="G223">
        <f t="shared" si="7"/>
        <v>10</v>
      </c>
      <c r="H223">
        <f t="shared" si="8"/>
        <v>10</v>
      </c>
    </row>
    <row r="224" spans="1:8" x14ac:dyDescent="0.2">
      <c r="A224" s="2">
        <v>12236</v>
      </c>
      <c r="B224" s="3">
        <v>26.47</v>
      </c>
      <c r="C224" s="2">
        <v>12235</v>
      </c>
      <c r="D224" s="3">
        <v>10.91</v>
      </c>
      <c r="G224">
        <f t="shared" si="7"/>
        <v>10</v>
      </c>
      <c r="H224">
        <f t="shared" si="8"/>
        <v>10</v>
      </c>
    </row>
    <row r="225" spans="1:8" x14ac:dyDescent="0.2">
      <c r="A225" s="2">
        <v>12267</v>
      </c>
      <c r="B225" s="3">
        <v>26.47</v>
      </c>
      <c r="C225" s="2">
        <v>12266</v>
      </c>
      <c r="D225" s="3">
        <v>9.9499999999999993</v>
      </c>
      <c r="G225">
        <f t="shared" si="7"/>
        <v>10</v>
      </c>
      <c r="H225">
        <f t="shared" si="8"/>
        <v>10</v>
      </c>
    </row>
    <row r="226" spans="1:8" x14ac:dyDescent="0.2">
      <c r="A226" s="2">
        <v>12298</v>
      </c>
      <c r="B226" s="3">
        <v>26.47</v>
      </c>
      <c r="C226" s="2">
        <v>12297</v>
      </c>
      <c r="D226" s="3">
        <v>11.09</v>
      </c>
      <c r="G226">
        <f t="shared" si="7"/>
        <v>10</v>
      </c>
      <c r="H226">
        <f t="shared" si="8"/>
        <v>10</v>
      </c>
    </row>
    <row r="227" spans="1:8" x14ac:dyDescent="0.2">
      <c r="A227" s="2">
        <v>12328</v>
      </c>
      <c r="B227" s="3">
        <v>26.47</v>
      </c>
      <c r="C227" s="2">
        <v>12327</v>
      </c>
      <c r="D227" s="3">
        <v>9.83</v>
      </c>
      <c r="G227">
        <f t="shared" si="7"/>
        <v>10</v>
      </c>
      <c r="H227">
        <f t="shared" si="8"/>
        <v>10</v>
      </c>
    </row>
    <row r="228" spans="1:8" x14ac:dyDescent="0.2">
      <c r="A228" s="2">
        <v>12359</v>
      </c>
      <c r="B228" s="3">
        <v>26.47</v>
      </c>
      <c r="C228" s="2">
        <v>12358</v>
      </c>
      <c r="D228" s="3">
        <v>8.9600000000000009</v>
      </c>
      <c r="G228">
        <f t="shared" si="7"/>
        <v>10</v>
      </c>
      <c r="H228">
        <f t="shared" si="8"/>
        <v>10</v>
      </c>
    </row>
    <row r="229" spans="1:8" x14ac:dyDescent="0.2">
      <c r="A229" s="2">
        <v>12389</v>
      </c>
      <c r="B229" s="3">
        <v>26.47</v>
      </c>
      <c r="C229" s="2">
        <v>12387</v>
      </c>
      <c r="D229" s="3">
        <v>9.8800000000000008</v>
      </c>
      <c r="G229">
        <f t="shared" si="7"/>
        <v>10</v>
      </c>
      <c r="H229">
        <f t="shared" si="8"/>
        <v>10</v>
      </c>
    </row>
    <row r="230" spans="1:8" x14ac:dyDescent="0.2">
      <c r="A230" s="2">
        <v>12420</v>
      </c>
      <c r="B230" s="3">
        <v>35</v>
      </c>
      <c r="C230" s="2">
        <v>12418</v>
      </c>
      <c r="D230" s="3">
        <v>10.1</v>
      </c>
      <c r="G230">
        <f t="shared" si="7"/>
        <v>10</v>
      </c>
      <c r="H230">
        <f t="shared" si="8"/>
        <v>10</v>
      </c>
    </row>
    <row r="231" spans="1:8" x14ac:dyDescent="0.2">
      <c r="A231" s="2">
        <v>12451</v>
      </c>
      <c r="B231" s="3">
        <v>35</v>
      </c>
      <c r="C231" s="2">
        <v>12450</v>
      </c>
      <c r="D231" s="3">
        <v>11.17</v>
      </c>
      <c r="G231">
        <f t="shared" si="7"/>
        <v>10</v>
      </c>
      <c r="H231">
        <f t="shared" si="8"/>
        <v>10</v>
      </c>
    </row>
    <row r="232" spans="1:8" x14ac:dyDescent="0.2">
      <c r="A232" s="2">
        <v>12479</v>
      </c>
      <c r="B232" s="3">
        <v>35</v>
      </c>
      <c r="C232" s="2">
        <v>12478</v>
      </c>
      <c r="D232" s="3">
        <v>10.76</v>
      </c>
      <c r="G232">
        <f t="shared" si="7"/>
        <v>10</v>
      </c>
      <c r="H232">
        <f t="shared" si="8"/>
        <v>10</v>
      </c>
    </row>
    <row r="233" spans="1:8" x14ac:dyDescent="0.2">
      <c r="A233" s="2">
        <v>12510</v>
      </c>
      <c r="B233" s="3">
        <v>35</v>
      </c>
      <c r="C233" s="2">
        <v>12509</v>
      </c>
      <c r="D233" s="3">
        <v>10.75</v>
      </c>
      <c r="G233">
        <f t="shared" si="7"/>
        <v>10</v>
      </c>
      <c r="H233">
        <f t="shared" si="8"/>
        <v>10</v>
      </c>
    </row>
    <row r="234" spans="1:8" x14ac:dyDescent="0.2">
      <c r="A234" s="2">
        <v>12540</v>
      </c>
      <c r="B234" s="3">
        <v>35</v>
      </c>
      <c r="C234" s="2">
        <v>12539</v>
      </c>
      <c r="D234" s="3">
        <v>10.46</v>
      </c>
      <c r="G234">
        <f t="shared" si="7"/>
        <v>10</v>
      </c>
      <c r="H234">
        <f t="shared" si="8"/>
        <v>10</v>
      </c>
    </row>
    <row r="235" spans="1:8" x14ac:dyDescent="0.2">
      <c r="A235" s="2">
        <v>12571</v>
      </c>
      <c r="B235" s="3">
        <v>35</v>
      </c>
      <c r="C235" s="2">
        <v>12570</v>
      </c>
      <c r="D235" s="3">
        <v>9.61</v>
      </c>
      <c r="G235">
        <f t="shared" si="7"/>
        <v>10</v>
      </c>
      <c r="H235">
        <f t="shared" si="8"/>
        <v>10</v>
      </c>
    </row>
    <row r="236" spans="1:8" x14ac:dyDescent="0.2">
      <c r="A236" s="2">
        <v>12601</v>
      </c>
      <c r="B236" s="3">
        <v>35</v>
      </c>
      <c r="C236" s="2">
        <v>12600</v>
      </c>
      <c r="D236" s="3">
        <v>9.81</v>
      </c>
      <c r="G236">
        <f t="shared" si="7"/>
        <v>10</v>
      </c>
      <c r="H236">
        <f t="shared" si="8"/>
        <v>10</v>
      </c>
    </row>
    <row r="237" spans="1:8" x14ac:dyDescent="0.2">
      <c r="A237" s="2">
        <v>12632</v>
      </c>
      <c r="B237" s="3">
        <v>35</v>
      </c>
      <c r="C237" s="2">
        <v>12631</v>
      </c>
      <c r="D237" s="3">
        <v>8.68</v>
      </c>
      <c r="G237">
        <f t="shared" si="7"/>
        <v>10</v>
      </c>
      <c r="H237">
        <f t="shared" si="8"/>
        <v>10</v>
      </c>
    </row>
    <row r="238" spans="1:8" x14ac:dyDescent="0.2">
      <c r="A238" s="2">
        <v>12663</v>
      </c>
      <c r="B238" s="3">
        <v>35</v>
      </c>
      <c r="C238" s="2">
        <v>12662</v>
      </c>
      <c r="D238" s="3">
        <v>9.15</v>
      </c>
      <c r="G238">
        <f t="shared" si="7"/>
        <v>10</v>
      </c>
      <c r="H238">
        <f t="shared" si="8"/>
        <v>10</v>
      </c>
    </row>
    <row r="239" spans="1:8" x14ac:dyDescent="0.2">
      <c r="A239" s="2">
        <v>12693</v>
      </c>
      <c r="B239" s="3">
        <v>35</v>
      </c>
      <c r="C239" s="2">
        <v>12691</v>
      </c>
      <c r="D239" s="3">
        <v>9.1</v>
      </c>
      <c r="G239">
        <f t="shared" si="7"/>
        <v>10</v>
      </c>
      <c r="H239">
        <f t="shared" si="8"/>
        <v>10</v>
      </c>
    </row>
    <row r="240" spans="1:8" x14ac:dyDescent="0.2">
      <c r="A240" s="2">
        <v>12724</v>
      </c>
      <c r="B240" s="3">
        <v>35</v>
      </c>
      <c r="C240" s="2">
        <v>12723</v>
      </c>
      <c r="D240" s="3">
        <v>8.81</v>
      </c>
      <c r="G240">
        <f t="shared" si="7"/>
        <v>10</v>
      </c>
      <c r="H240">
        <f t="shared" si="8"/>
        <v>10</v>
      </c>
    </row>
    <row r="241" spans="1:8" x14ac:dyDescent="0.2">
      <c r="A241" s="2">
        <v>12754</v>
      </c>
      <c r="B241" s="3">
        <v>35</v>
      </c>
      <c r="C241" s="2">
        <v>12753</v>
      </c>
      <c r="D241" s="3">
        <v>9.5399999999999991</v>
      </c>
      <c r="G241">
        <f t="shared" si="7"/>
        <v>10</v>
      </c>
      <c r="H241">
        <f t="shared" si="8"/>
        <v>10</v>
      </c>
    </row>
    <row r="242" spans="1:8" x14ac:dyDescent="0.2">
      <c r="A242" s="2">
        <v>12785</v>
      </c>
      <c r="B242" s="3">
        <v>35</v>
      </c>
      <c r="C242" s="2">
        <v>12784</v>
      </c>
      <c r="D242" s="3">
        <v>9.5</v>
      </c>
      <c r="G242">
        <f t="shared" si="7"/>
        <v>10</v>
      </c>
      <c r="H242">
        <f t="shared" si="8"/>
        <v>10</v>
      </c>
    </row>
    <row r="243" spans="1:8" x14ac:dyDescent="0.2">
      <c r="A243" s="2">
        <v>12816</v>
      </c>
      <c r="B243" s="3">
        <v>35</v>
      </c>
      <c r="C243" s="2">
        <v>12815</v>
      </c>
      <c r="D243" s="3">
        <v>9.1</v>
      </c>
      <c r="G243">
        <f t="shared" si="7"/>
        <v>10</v>
      </c>
      <c r="H243">
        <f t="shared" si="8"/>
        <v>10</v>
      </c>
    </row>
    <row r="244" spans="1:8" x14ac:dyDescent="0.2">
      <c r="A244" s="2">
        <v>12844</v>
      </c>
      <c r="B244" s="3">
        <v>35</v>
      </c>
      <c r="C244" s="2">
        <v>12843</v>
      </c>
      <c r="D244" s="3">
        <v>8.74</v>
      </c>
      <c r="G244">
        <f t="shared" si="7"/>
        <v>10</v>
      </c>
      <c r="H244">
        <f t="shared" si="8"/>
        <v>10</v>
      </c>
    </row>
    <row r="245" spans="1:8" x14ac:dyDescent="0.2">
      <c r="A245" s="2">
        <v>12875</v>
      </c>
      <c r="B245" s="3">
        <v>35</v>
      </c>
      <c r="C245" s="2">
        <v>12873</v>
      </c>
      <c r="D245" s="3">
        <v>8.4700000000000006</v>
      </c>
      <c r="G245">
        <f t="shared" si="7"/>
        <v>10</v>
      </c>
      <c r="H245">
        <f t="shared" si="8"/>
        <v>10</v>
      </c>
    </row>
    <row r="246" spans="1:8" x14ac:dyDescent="0.2">
      <c r="A246" s="2">
        <v>12905</v>
      </c>
      <c r="B246" s="3">
        <v>35</v>
      </c>
      <c r="C246" s="2">
        <v>12904</v>
      </c>
      <c r="D246" s="3">
        <v>9.2799999999999994</v>
      </c>
      <c r="G246">
        <f t="shared" si="7"/>
        <v>10</v>
      </c>
      <c r="H246">
        <f t="shared" si="8"/>
        <v>10</v>
      </c>
    </row>
    <row r="247" spans="1:8" x14ac:dyDescent="0.2">
      <c r="A247" s="2">
        <v>12936</v>
      </c>
      <c r="B247" s="3">
        <v>35</v>
      </c>
      <c r="C247" s="2">
        <v>12935</v>
      </c>
      <c r="D247" s="3">
        <v>9.58</v>
      </c>
      <c r="G247">
        <f t="shared" si="7"/>
        <v>10</v>
      </c>
      <c r="H247">
        <f t="shared" si="8"/>
        <v>10</v>
      </c>
    </row>
    <row r="248" spans="1:8" x14ac:dyDescent="0.2">
      <c r="A248" s="2">
        <v>12966</v>
      </c>
      <c r="B248" s="3">
        <v>35</v>
      </c>
      <c r="C248" s="2">
        <v>12964</v>
      </c>
      <c r="D248" s="3">
        <v>10.23</v>
      </c>
      <c r="G248">
        <f t="shared" si="7"/>
        <v>10</v>
      </c>
      <c r="H248">
        <f t="shared" si="8"/>
        <v>10</v>
      </c>
    </row>
    <row r="249" spans="1:8" x14ac:dyDescent="0.2">
      <c r="A249" s="2">
        <v>12997</v>
      </c>
      <c r="B249" s="3">
        <v>35</v>
      </c>
      <c r="C249" s="2">
        <v>12996</v>
      </c>
      <c r="D249" s="3">
        <v>11.08</v>
      </c>
      <c r="G249">
        <f t="shared" si="7"/>
        <v>10</v>
      </c>
      <c r="H249">
        <f t="shared" si="8"/>
        <v>10</v>
      </c>
    </row>
    <row r="250" spans="1:8" x14ac:dyDescent="0.2">
      <c r="A250" s="2">
        <v>13028</v>
      </c>
      <c r="B250" s="3">
        <v>35</v>
      </c>
      <c r="C250" s="2">
        <v>13027</v>
      </c>
      <c r="D250" s="3">
        <v>11.32</v>
      </c>
      <c r="G250">
        <f t="shared" si="7"/>
        <v>10</v>
      </c>
      <c r="H250">
        <f t="shared" si="8"/>
        <v>10</v>
      </c>
    </row>
    <row r="251" spans="1:8" x14ac:dyDescent="0.2">
      <c r="A251" s="2">
        <v>13058</v>
      </c>
      <c r="B251" s="3">
        <v>35</v>
      </c>
      <c r="C251" s="2">
        <v>13057</v>
      </c>
      <c r="D251" s="3">
        <v>11.59</v>
      </c>
      <c r="G251">
        <f t="shared" si="7"/>
        <v>10</v>
      </c>
      <c r="H251">
        <f t="shared" si="8"/>
        <v>10</v>
      </c>
    </row>
    <row r="252" spans="1:8" x14ac:dyDescent="0.2">
      <c r="A252" s="2">
        <v>13089</v>
      </c>
      <c r="B252" s="3">
        <v>35</v>
      </c>
      <c r="C252" s="2">
        <v>13088</v>
      </c>
      <c r="D252" s="3">
        <v>12.46</v>
      </c>
      <c r="G252">
        <f t="shared" si="7"/>
        <v>10</v>
      </c>
      <c r="H252">
        <f t="shared" si="8"/>
        <v>10</v>
      </c>
    </row>
    <row r="253" spans="1:8" x14ac:dyDescent="0.2">
      <c r="A253" s="2">
        <v>13119</v>
      </c>
      <c r="B253" s="3">
        <v>35</v>
      </c>
      <c r="C253" s="2">
        <v>13118</v>
      </c>
      <c r="D253" s="3">
        <v>12.95</v>
      </c>
      <c r="G253">
        <f t="shared" si="7"/>
        <v>10</v>
      </c>
      <c r="H253">
        <f t="shared" si="8"/>
        <v>10</v>
      </c>
    </row>
    <row r="254" spans="1:8" x14ac:dyDescent="0.2">
      <c r="A254" s="2">
        <v>13150</v>
      </c>
      <c r="B254" s="3">
        <v>35</v>
      </c>
      <c r="C254" s="2">
        <v>13149</v>
      </c>
      <c r="D254" s="3">
        <v>13.43</v>
      </c>
      <c r="G254">
        <f t="shared" si="7"/>
        <v>10</v>
      </c>
      <c r="H254">
        <f t="shared" si="8"/>
        <v>10</v>
      </c>
    </row>
    <row r="255" spans="1:8" x14ac:dyDescent="0.2">
      <c r="A255" s="2">
        <v>13181</v>
      </c>
      <c r="B255" s="3">
        <v>35</v>
      </c>
      <c r="C255" s="2">
        <v>13180</v>
      </c>
      <c r="D255" s="3">
        <v>14.31</v>
      </c>
      <c r="G255">
        <f t="shared" si="7"/>
        <v>10</v>
      </c>
      <c r="H255">
        <f t="shared" si="8"/>
        <v>10</v>
      </c>
    </row>
    <row r="256" spans="1:8" x14ac:dyDescent="0.2">
      <c r="A256" s="2">
        <v>13210</v>
      </c>
      <c r="B256" s="3">
        <v>35</v>
      </c>
      <c r="C256" s="2">
        <v>13209</v>
      </c>
      <c r="D256" s="3">
        <v>14.55</v>
      </c>
      <c r="G256">
        <f t="shared" si="7"/>
        <v>10</v>
      </c>
      <c r="H256">
        <f t="shared" si="8"/>
        <v>10</v>
      </c>
    </row>
    <row r="257" spans="1:8" x14ac:dyDescent="0.2">
      <c r="A257" s="2">
        <v>13241</v>
      </c>
      <c r="B257" s="3">
        <v>35</v>
      </c>
      <c r="C257" s="2">
        <v>13240</v>
      </c>
      <c r="D257" s="3">
        <v>14.92</v>
      </c>
      <c r="G257">
        <f t="shared" si="7"/>
        <v>10</v>
      </c>
      <c r="H257">
        <f t="shared" si="8"/>
        <v>10</v>
      </c>
    </row>
    <row r="258" spans="1:8" x14ac:dyDescent="0.2">
      <c r="A258" s="2">
        <v>13271</v>
      </c>
      <c r="B258" s="3">
        <v>35</v>
      </c>
      <c r="C258" s="2">
        <v>13270</v>
      </c>
      <c r="D258" s="3">
        <v>13.77</v>
      </c>
      <c r="G258">
        <f t="shared" si="7"/>
        <v>10</v>
      </c>
      <c r="H258">
        <f t="shared" si="8"/>
        <v>10</v>
      </c>
    </row>
    <row r="259" spans="1:8" x14ac:dyDescent="0.2">
      <c r="A259" s="2">
        <v>13302</v>
      </c>
      <c r="B259" s="3">
        <v>35</v>
      </c>
      <c r="C259" s="2">
        <v>13299</v>
      </c>
      <c r="D259" s="3">
        <v>14.4</v>
      </c>
      <c r="G259">
        <f t="shared" ref="G259:G322" si="9">IF(AND(A259&gt;=DATE(1973,1,1), A259&lt;=DATE(1982,12,31)), 10000, 10)</f>
        <v>10</v>
      </c>
      <c r="H259">
        <f t="shared" ref="H259:H322" si="10">IF(AND(A259&gt;=DATE(1983,1,1), A259&lt;=DATE(2007,12,31)), 10000, 10)</f>
        <v>10</v>
      </c>
    </row>
    <row r="260" spans="1:8" x14ac:dyDescent="0.2">
      <c r="A260" s="2">
        <v>13332</v>
      </c>
      <c r="B260" s="3">
        <v>35</v>
      </c>
      <c r="C260" s="2">
        <v>13331</v>
      </c>
      <c r="D260" s="3">
        <v>14.84</v>
      </c>
      <c r="G260">
        <f t="shared" si="9"/>
        <v>10</v>
      </c>
      <c r="H260">
        <f t="shared" si="10"/>
        <v>10</v>
      </c>
    </row>
    <row r="261" spans="1:8" x14ac:dyDescent="0.2">
      <c r="A261" s="2">
        <v>13363</v>
      </c>
      <c r="B261" s="3">
        <v>35</v>
      </c>
      <c r="C261" s="2">
        <v>13362</v>
      </c>
      <c r="D261" s="3">
        <v>15.85</v>
      </c>
      <c r="G261">
        <f t="shared" si="9"/>
        <v>10</v>
      </c>
      <c r="H261">
        <f t="shared" si="10"/>
        <v>10</v>
      </c>
    </row>
    <row r="262" spans="1:8" x14ac:dyDescent="0.2">
      <c r="A262" s="2">
        <v>13394</v>
      </c>
      <c r="B262" s="3">
        <v>35</v>
      </c>
      <c r="C262" s="2">
        <v>13393</v>
      </c>
      <c r="D262" s="3">
        <v>15.99</v>
      </c>
      <c r="G262">
        <f t="shared" si="9"/>
        <v>10</v>
      </c>
      <c r="H262">
        <f t="shared" si="10"/>
        <v>10</v>
      </c>
    </row>
    <row r="263" spans="1:8" x14ac:dyDescent="0.2">
      <c r="A263" s="2">
        <v>13424</v>
      </c>
      <c r="B263" s="3">
        <v>35</v>
      </c>
      <c r="C263" s="2">
        <v>13423</v>
      </c>
      <c r="D263" s="3">
        <v>16.010000000000002</v>
      </c>
      <c r="G263">
        <f t="shared" si="9"/>
        <v>10</v>
      </c>
      <c r="H263">
        <f t="shared" si="10"/>
        <v>10</v>
      </c>
    </row>
    <row r="264" spans="1:8" x14ac:dyDescent="0.2">
      <c r="A264" s="2">
        <v>13455</v>
      </c>
      <c r="B264" s="3">
        <v>35</v>
      </c>
      <c r="C264" s="2">
        <v>13454</v>
      </c>
      <c r="D264" s="3">
        <v>17.21</v>
      </c>
      <c r="G264">
        <f t="shared" si="9"/>
        <v>10</v>
      </c>
      <c r="H264">
        <f t="shared" si="10"/>
        <v>10</v>
      </c>
    </row>
    <row r="265" spans="1:8" x14ac:dyDescent="0.2">
      <c r="A265" s="2">
        <v>13485</v>
      </c>
      <c r="B265" s="3">
        <v>35</v>
      </c>
      <c r="C265" s="2">
        <v>13484</v>
      </c>
      <c r="D265" s="3">
        <v>17.28</v>
      </c>
      <c r="G265">
        <f t="shared" si="9"/>
        <v>10</v>
      </c>
      <c r="H265">
        <f t="shared" si="10"/>
        <v>10</v>
      </c>
    </row>
    <row r="266" spans="1:8" x14ac:dyDescent="0.2">
      <c r="A266" s="2">
        <v>13516</v>
      </c>
      <c r="B266" s="3">
        <v>35</v>
      </c>
      <c r="C266" s="2">
        <v>13515</v>
      </c>
      <c r="D266" s="3">
        <v>17.18</v>
      </c>
      <c r="G266">
        <f t="shared" si="9"/>
        <v>10</v>
      </c>
      <c r="H266">
        <f t="shared" si="10"/>
        <v>10</v>
      </c>
    </row>
    <row r="267" spans="1:8" x14ac:dyDescent="0.2">
      <c r="A267" s="2">
        <v>13547</v>
      </c>
      <c r="B267" s="3">
        <v>35</v>
      </c>
      <c r="C267" s="2">
        <v>13545</v>
      </c>
      <c r="D267" s="3">
        <v>17.829999999999998</v>
      </c>
      <c r="G267">
        <f t="shared" si="9"/>
        <v>10</v>
      </c>
      <c r="H267">
        <f t="shared" si="10"/>
        <v>10</v>
      </c>
    </row>
    <row r="268" spans="1:8" x14ac:dyDescent="0.2">
      <c r="A268" s="2">
        <v>13575</v>
      </c>
      <c r="B268" s="3">
        <v>35</v>
      </c>
      <c r="C268" s="2">
        <v>13573</v>
      </c>
      <c r="D268" s="3">
        <v>18.09</v>
      </c>
      <c r="G268">
        <f t="shared" si="9"/>
        <v>10</v>
      </c>
      <c r="H268">
        <f t="shared" si="10"/>
        <v>10</v>
      </c>
    </row>
    <row r="269" spans="1:8" x14ac:dyDescent="0.2">
      <c r="A269" s="2">
        <v>13606</v>
      </c>
      <c r="B269" s="3">
        <v>35</v>
      </c>
      <c r="C269" s="2">
        <v>13605</v>
      </c>
      <c r="D269" s="3">
        <v>17.920000000000002</v>
      </c>
      <c r="G269">
        <f t="shared" si="9"/>
        <v>10</v>
      </c>
      <c r="H269">
        <f t="shared" si="10"/>
        <v>10</v>
      </c>
    </row>
    <row r="270" spans="1:8" x14ac:dyDescent="0.2">
      <c r="A270" s="2">
        <v>13636</v>
      </c>
      <c r="B270" s="3">
        <v>35</v>
      </c>
      <c r="C270" s="2">
        <v>13635</v>
      </c>
      <c r="D270" s="3">
        <v>16.43</v>
      </c>
      <c r="G270">
        <f t="shared" si="9"/>
        <v>10</v>
      </c>
      <c r="H270">
        <f t="shared" si="10"/>
        <v>10</v>
      </c>
    </row>
    <row r="271" spans="1:8" x14ac:dyDescent="0.2">
      <c r="A271" s="2">
        <v>13667</v>
      </c>
      <c r="B271" s="3">
        <v>35</v>
      </c>
      <c r="C271" s="2">
        <v>13663</v>
      </c>
      <c r="D271" s="3">
        <v>16.260000000000002</v>
      </c>
      <c r="G271">
        <f t="shared" si="9"/>
        <v>10</v>
      </c>
      <c r="H271">
        <f t="shared" si="10"/>
        <v>10</v>
      </c>
    </row>
    <row r="272" spans="1:8" x14ac:dyDescent="0.2">
      <c r="A272" s="2">
        <v>13697</v>
      </c>
      <c r="B272" s="3">
        <v>35</v>
      </c>
      <c r="C272" s="2">
        <v>13696</v>
      </c>
      <c r="D272" s="3">
        <v>15.4</v>
      </c>
      <c r="G272">
        <f t="shared" si="9"/>
        <v>10</v>
      </c>
      <c r="H272">
        <f t="shared" si="10"/>
        <v>10</v>
      </c>
    </row>
    <row r="273" spans="1:8" x14ac:dyDescent="0.2">
      <c r="A273" s="2">
        <v>13728</v>
      </c>
      <c r="B273" s="3">
        <v>35</v>
      </c>
      <c r="C273" s="2">
        <v>13727</v>
      </c>
      <c r="D273" s="3">
        <v>16.98</v>
      </c>
      <c r="G273">
        <f t="shared" si="9"/>
        <v>10</v>
      </c>
      <c r="H273">
        <f t="shared" si="10"/>
        <v>10</v>
      </c>
    </row>
    <row r="274" spans="1:8" x14ac:dyDescent="0.2">
      <c r="A274" s="2">
        <v>13759</v>
      </c>
      <c r="B274" s="3">
        <v>35</v>
      </c>
      <c r="C274" s="2">
        <v>13758</v>
      </c>
      <c r="D274" s="3">
        <v>16.04</v>
      </c>
      <c r="G274">
        <f t="shared" si="9"/>
        <v>10</v>
      </c>
      <c r="H274">
        <f t="shared" si="10"/>
        <v>10</v>
      </c>
    </row>
    <row r="275" spans="1:8" x14ac:dyDescent="0.2">
      <c r="A275" s="2">
        <v>13789</v>
      </c>
      <c r="B275" s="3">
        <v>35</v>
      </c>
      <c r="C275" s="2">
        <v>13788</v>
      </c>
      <c r="D275" s="3">
        <v>13.76</v>
      </c>
      <c r="G275">
        <f t="shared" si="9"/>
        <v>10</v>
      </c>
      <c r="H275">
        <f t="shared" si="10"/>
        <v>10</v>
      </c>
    </row>
    <row r="276" spans="1:8" x14ac:dyDescent="0.2">
      <c r="A276" s="2">
        <v>13820</v>
      </c>
      <c r="B276" s="3">
        <v>35</v>
      </c>
      <c r="C276" s="2">
        <v>13818</v>
      </c>
      <c r="D276" s="3">
        <v>12.36</v>
      </c>
      <c r="G276">
        <f t="shared" si="9"/>
        <v>10</v>
      </c>
      <c r="H276">
        <f t="shared" si="10"/>
        <v>10</v>
      </c>
    </row>
    <row r="277" spans="1:8" x14ac:dyDescent="0.2">
      <c r="A277" s="2">
        <v>13850</v>
      </c>
      <c r="B277" s="3">
        <v>35</v>
      </c>
      <c r="C277" s="2">
        <v>13849</v>
      </c>
      <c r="D277" s="3">
        <v>11.11</v>
      </c>
      <c r="G277">
        <f t="shared" si="9"/>
        <v>10</v>
      </c>
      <c r="H277">
        <f t="shared" si="10"/>
        <v>10</v>
      </c>
    </row>
    <row r="278" spans="1:8" x14ac:dyDescent="0.2">
      <c r="A278" s="2">
        <v>13881</v>
      </c>
      <c r="B278" s="3">
        <v>35</v>
      </c>
      <c r="C278" s="2">
        <v>13880</v>
      </c>
      <c r="D278" s="3">
        <v>10.55</v>
      </c>
      <c r="G278">
        <f t="shared" si="9"/>
        <v>10</v>
      </c>
      <c r="H278">
        <f t="shared" si="10"/>
        <v>10</v>
      </c>
    </row>
    <row r="279" spans="1:8" x14ac:dyDescent="0.2">
      <c r="A279" s="2">
        <v>13912</v>
      </c>
      <c r="B279" s="3">
        <v>35</v>
      </c>
      <c r="C279" s="2">
        <v>13911</v>
      </c>
      <c r="D279" s="3">
        <v>10.69</v>
      </c>
      <c r="G279">
        <f t="shared" si="9"/>
        <v>10</v>
      </c>
      <c r="H279">
        <f t="shared" si="10"/>
        <v>10</v>
      </c>
    </row>
    <row r="280" spans="1:8" x14ac:dyDescent="0.2">
      <c r="A280" s="2">
        <v>13940</v>
      </c>
      <c r="B280" s="3">
        <v>35</v>
      </c>
      <c r="C280" s="2">
        <v>13939</v>
      </c>
      <c r="D280" s="3">
        <v>11.34</v>
      </c>
      <c r="G280">
        <f t="shared" si="9"/>
        <v>10</v>
      </c>
      <c r="H280">
        <f t="shared" si="10"/>
        <v>10</v>
      </c>
    </row>
    <row r="281" spans="1:8" x14ac:dyDescent="0.2">
      <c r="A281" s="2">
        <v>13971</v>
      </c>
      <c r="B281" s="3">
        <v>35</v>
      </c>
      <c r="C281" s="2">
        <v>13970</v>
      </c>
      <c r="D281" s="3">
        <v>8.5</v>
      </c>
      <c r="G281">
        <f t="shared" si="9"/>
        <v>10</v>
      </c>
      <c r="H281">
        <f t="shared" si="10"/>
        <v>10</v>
      </c>
    </row>
    <row r="282" spans="1:8" x14ac:dyDescent="0.2">
      <c r="A282" s="2">
        <v>14001</v>
      </c>
      <c r="B282" s="3">
        <v>35</v>
      </c>
      <c r="C282" s="2">
        <v>14000</v>
      </c>
      <c r="D282" s="3">
        <v>9.6999999999999993</v>
      </c>
      <c r="G282">
        <f t="shared" si="9"/>
        <v>10</v>
      </c>
      <c r="H282">
        <f t="shared" si="10"/>
        <v>10</v>
      </c>
    </row>
    <row r="283" spans="1:8" x14ac:dyDescent="0.2">
      <c r="A283" s="2">
        <v>14032</v>
      </c>
      <c r="B283" s="3">
        <v>35</v>
      </c>
      <c r="C283" s="2">
        <v>14031</v>
      </c>
      <c r="D283" s="3">
        <v>9.27</v>
      </c>
      <c r="G283">
        <f t="shared" si="9"/>
        <v>10</v>
      </c>
      <c r="H283">
        <f t="shared" si="10"/>
        <v>10</v>
      </c>
    </row>
    <row r="284" spans="1:8" x14ac:dyDescent="0.2">
      <c r="A284" s="2">
        <v>14062</v>
      </c>
      <c r="B284" s="3">
        <v>35</v>
      </c>
      <c r="C284" s="2">
        <v>14061</v>
      </c>
      <c r="D284" s="3">
        <v>11.56</v>
      </c>
      <c r="G284">
        <f t="shared" si="9"/>
        <v>10</v>
      </c>
      <c r="H284">
        <f t="shared" si="10"/>
        <v>10</v>
      </c>
    </row>
    <row r="285" spans="1:8" x14ac:dyDescent="0.2">
      <c r="A285" s="2">
        <v>14093</v>
      </c>
      <c r="B285" s="3">
        <v>35</v>
      </c>
      <c r="C285" s="2">
        <v>14091</v>
      </c>
      <c r="D285" s="3">
        <v>12.4</v>
      </c>
      <c r="G285">
        <f t="shared" si="9"/>
        <v>10</v>
      </c>
      <c r="H285">
        <f t="shared" si="10"/>
        <v>10</v>
      </c>
    </row>
    <row r="286" spans="1:8" x14ac:dyDescent="0.2">
      <c r="A286" s="2">
        <v>14124</v>
      </c>
      <c r="B286" s="3">
        <v>35</v>
      </c>
      <c r="C286" s="2">
        <v>14123</v>
      </c>
      <c r="D286" s="3">
        <v>12.06</v>
      </c>
      <c r="G286">
        <f t="shared" si="9"/>
        <v>10</v>
      </c>
      <c r="H286">
        <f t="shared" si="10"/>
        <v>10</v>
      </c>
    </row>
    <row r="287" spans="1:8" x14ac:dyDescent="0.2">
      <c r="A287" s="2">
        <v>14154</v>
      </c>
      <c r="B287" s="3">
        <v>35</v>
      </c>
      <c r="C287" s="2">
        <v>14153</v>
      </c>
      <c r="D287" s="3">
        <v>12.24</v>
      </c>
      <c r="G287">
        <f t="shared" si="9"/>
        <v>10</v>
      </c>
      <c r="H287">
        <f t="shared" si="10"/>
        <v>10</v>
      </c>
    </row>
    <row r="288" spans="1:8" x14ac:dyDescent="0.2">
      <c r="A288" s="2">
        <v>14185</v>
      </c>
      <c r="B288" s="3">
        <v>35</v>
      </c>
      <c r="C288" s="2">
        <v>14184</v>
      </c>
      <c r="D288" s="3">
        <v>13.17</v>
      </c>
      <c r="G288">
        <f t="shared" si="9"/>
        <v>10</v>
      </c>
      <c r="H288">
        <f t="shared" si="10"/>
        <v>10</v>
      </c>
    </row>
    <row r="289" spans="1:8" x14ac:dyDescent="0.2">
      <c r="A289" s="2">
        <v>14215</v>
      </c>
      <c r="B289" s="3">
        <v>35</v>
      </c>
      <c r="C289" s="2">
        <v>14214</v>
      </c>
      <c r="D289" s="3">
        <v>12.73</v>
      </c>
      <c r="G289">
        <f t="shared" si="9"/>
        <v>10</v>
      </c>
      <c r="H289">
        <f t="shared" si="10"/>
        <v>10</v>
      </c>
    </row>
    <row r="290" spans="1:8" x14ac:dyDescent="0.2">
      <c r="A290" s="2">
        <v>14246</v>
      </c>
      <c r="B290" s="3">
        <v>34.69</v>
      </c>
      <c r="C290" s="2">
        <v>14245</v>
      </c>
      <c r="D290" s="3">
        <v>13.21</v>
      </c>
      <c r="G290">
        <f t="shared" si="9"/>
        <v>10</v>
      </c>
      <c r="H290">
        <f t="shared" si="10"/>
        <v>10</v>
      </c>
    </row>
    <row r="291" spans="1:8" x14ac:dyDescent="0.2">
      <c r="A291" s="2">
        <v>14277</v>
      </c>
      <c r="B291" s="3">
        <v>34.69</v>
      </c>
      <c r="C291" s="2">
        <v>14276</v>
      </c>
      <c r="D291" s="3">
        <v>12.3</v>
      </c>
      <c r="G291">
        <f t="shared" si="9"/>
        <v>10</v>
      </c>
      <c r="H291">
        <f t="shared" si="10"/>
        <v>10</v>
      </c>
    </row>
    <row r="292" spans="1:8" x14ac:dyDescent="0.2">
      <c r="A292" s="2">
        <v>14305</v>
      </c>
      <c r="B292" s="3">
        <v>34.69</v>
      </c>
      <c r="C292" s="2">
        <v>14304</v>
      </c>
      <c r="D292" s="3">
        <v>12.7</v>
      </c>
      <c r="G292">
        <f t="shared" si="9"/>
        <v>10</v>
      </c>
      <c r="H292">
        <f t="shared" si="10"/>
        <v>10</v>
      </c>
    </row>
    <row r="293" spans="1:8" x14ac:dyDescent="0.2">
      <c r="A293" s="2">
        <v>14336</v>
      </c>
      <c r="B293" s="3">
        <v>34.69</v>
      </c>
      <c r="C293" s="2">
        <v>14335</v>
      </c>
      <c r="D293" s="3">
        <v>10.98</v>
      </c>
      <c r="G293">
        <f t="shared" si="9"/>
        <v>10</v>
      </c>
      <c r="H293">
        <f t="shared" si="10"/>
        <v>10</v>
      </c>
    </row>
    <row r="294" spans="1:8" x14ac:dyDescent="0.2">
      <c r="A294" s="2">
        <v>14366</v>
      </c>
      <c r="B294" s="3">
        <v>34.69</v>
      </c>
      <c r="C294" s="2">
        <v>14364</v>
      </c>
      <c r="D294" s="3">
        <v>10.92</v>
      </c>
      <c r="G294">
        <f t="shared" si="9"/>
        <v>10</v>
      </c>
      <c r="H294">
        <f t="shared" si="10"/>
        <v>10</v>
      </c>
    </row>
    <row r="295" spans="1:8" x14ac:dyDescent="0.2">
      <c r="A295" s="2">
        <v>14397</v>
      </c>
      <c r="B295" s="3">
        <v>34.69</v>
      </c>
      <c r="C295" s="2">
        <v>14396</v>
      </c>
      <c r="D295" s="3">
        <v>11.6</v>
      </c>
      <c r="G295">
        <f t="shared" si="9"/>
        <v>10</v>
      </c>
      <c r="H295">
        <f t="shared" si="10"/>
        <v>10</v>
      </c>
    </row>
    <row r="296" spans="1:8" x14ac:dyDescent="0.2">
      <c r="A296" s="2">
        <v>14427</v>
      </c>
      <c r="B296" s="3">
        <v>34.69</v>
      </c>
      <c r="C296" s="2">
        <v>14426</v>
      </c>
      <c r="D296" s="3">
        <v>10.86</v>
      </c>
      <c r="G296">
        <f t="shared" si="9"/>
        <v>10</v>
      </c>
      <c r="H296">
        <f t="shared" si="10"/>
        <v>10</v>
      </c>
    </row>
    <row r="297" spans="1:8" x14ac:dyDescent="0.2">
      <c r="A297" s="2">
        <v>14458</v>
      </c>
      <c r="B297" s="3">
        <v>34.69</v>
      </c>
      <c r="C297" s="2">
        <v>14457</v>
      </c>
      <c r="D297" s="3">
        <v>12.04</v>
      </c>
      <c r="G297">
        <f t="shared" si="9"/>
        <v>10</v>
      </c>
      <c r="H297">
        <f t="shared" si="10"/>
        <v>10</v>
      </c>
    </row>
    <row r="298" spans="1:8" x14ac:dyDescent="0.2">
      <c r="A298" s="2">
        <v>14489</v>
      </c>
      <c r="B298" s="3">
        <v>34.69</v>
      </c>
      <c r="C298" s="2">
        <v>14488</v>
      </c>
      <c r="D298" s="3">
        <v>11.18</v>
      </c>
      <c r="G298">
        <f t="shared" si="9"/>
        <v>10</v>
      </c>
      <c r="H298">
        <f t="shared" si="10"/>
        <v>10</v>
      </c>
    </row>
    <row r="299" spans="1:8" x14ac:dyDescent="0.2">
      <c r="A299" s="2">
        <v>14519</v>
      </c>
      <c r="B299" s="3">
        <v>34.69</v>
      </c>
      <c r="C299" s="2">
        <v>14518</v>
      </c>
      <c r="D299" s="3">
        <v>13.02</v>
      </c>
      <c r="G299">
        <f t="shared" si="9"/>
        <v>10</v>
      </c>
      <c r="H299">
        <f t="shared" si="10"/>
        <v>10</v>
      </c>
    </row>
    <row r="300" spans="1:8" x14ac:dyDescent="0.2">
      <c r="A300" s="2">
        <v>14550</v>
      </c>
      <c r="B300" s="3">
        <v>34.69</v>
      </c>
      <c r="C300" s="2">
        <v>14549</v>
      </c>
      <c r="D300" s="3">
        <v>12.83</v>
      </c>
      <c r="G300">
        <f t="shared" si="9"/>
        <v>10</v>
      </c>
      <c r="H300">
        <f t="shared" si="10"/>
        <v>10</v>
      </c>
    </row>
    <row r="301" spans="1:8" x14ac:dyDescent="0.2">
      <c r="A301" s="2">
        <v>14580</v>
      </c>
      <c r="B301" s="3">
        <v>34.69</v>
      </c>
      <c r="C301" s="2">
        <v>14579</v>
      </c>
      <c r="D301" s="3">
        <v>12.2</v>
      </c>
      <c r="G301">
        <f t="shared" si="9"/>
        <v>10</v>
      </c>
      <c r="H301">
        <f t="shared" si="10"/>
        <v>10</v>
      </c>
    </row>
    <row r="302" spans="1:8" x14ac:dyDescent="0.2">
      <c r="A302" s="2">
        <v>14611</v>
      </c>
      <c r="B302" s="3">
        <v>34.06</v>
      </c>
      <c r="C302" s="2">
        <v>14609</v>
      </c>
      <c r="D302" s="3">
        <v>12.49</v>
      </c>
      <c r="G302">
        <f t="shared" si="9"/>
        <v>10</v>
      </c>
      <c r="H302">
        <f t="shared" si="10"/>
        <v>10</v>
      </c>
    </row>
    <row r="303" spans="1:8" x14ac:dyDescent="0.2">
      <c r="A303" s="2">
        <v>14642</v>
      </c>
      <c r="B303" s="3">
        <v>34.06</v>
      </c>
      <c r="C303" s="2">
        <v>14641</v>
      </c>
      <c r="D303" s="3">
        <v>12.05</v>
      </c>
      <c r="G303">
        <f t="shared" si="9"/>
        <v>10</v>
      </c>
      <c r="H303">
        <f t="shared" si="10"/>
        <v>10</v>
      </c>
    </row>
    <row r="304" spans="1:8" x14ac:dyDescent="0.2">
      <c r="A304" s="2">
        <v>14671</v>
      </c>
      <c r="B304" s="3">
        <v>34.06</v>
      </c>
      <c r="C304" s="2">
        <v>14670</v>
      </c>
      <c r="D304" s="3">
        <v>12.13</v>
      </c>
      <c r="G304">
        <f t="shared" si="9"/>
        <v>10</v>
      </c>
      <c r="H304">
        <f t="shared" si="10"/>
        <v>10</v>
      </c>
    </row>
    <row r="305" spans="1:8" x14ac:dyDescent="0.2">
      <c r="A305" s="2">
        <v>14702</v>
      </c>
      <c r="B305" s="3">
        <v>34.06</v>
      </c>
      <c r="C305" s="2">
        <v>14700</v>
      </c>
      <c r="D305" s="3">
        <v>12.25</v>
      </c>
      <c r="G305">
        <f t="shared" si="9"/>
        <v>10</v>
      </c>
      <c r="H305">
        <f t="shared" si="10"/>
        <v>10</v>
      </c>
    </row>
    <row r="306" spans="1:8" x14ac:dyDescent="0.2">
      <c r="A306" s="2">
        <v>14732</v>
      </c>
      <c r="B306" s="3">
        <v>34.06</v>
      </c>
      <c r="C306" s="2">
        <v>14731</v>
      </c>
      <c r="D306" s="3">
        <v>12.19</v>
      </c>
      <c r="G306">
        <f t="shared" si="9"/>
        <v>10</v>
      </c>
      <c r="H306">
        <f t="shared" si="10"/>
        <v>10</v>
      </c>
    </row>
    <row r="307" spans="1:8" x14ac:dyDescent="0.2">
      <c r="A307" s="2">
        <v>14763</v>
      </c>
      <c r="B307" s="3">
        <v>34.06</v>
      </c>
      <c r="C307" s="2">
        <v>14762</v>
      </c>
      <c r="D307" s="3">
        <v>9.27</v>
      </c>
      <c r="G307">
        <f t="shared" si="9"/>
        <v>10</v>
      </c>
      <c r="H307">
        <f t="shared" si="10"/>
        <v>10</v>
      </c>
    </row>
    <row r="308" spans="1:8" x14ac:dyDescent="0.2">
      <c r="A308" s="2">
        <v>14793</v>
      </c>
      <c r="B308" s="3">
        <v>34.06</v>
      </c>
      <c r="C308" s="2">
        <v>14791</v>
      </c>
      <c r="D308" s="3">
        <v>9.98</v>
      </c>
      <c r="G308">
        <f t="shared" si="9"/>
        <v>10</v>
      </c>
      <c r="H308">
        <f t="shared" si="10"/>
        <v>10</v>
      </c>
    </row>
    <row r="309" spans="1:8" x14ac:dyDescent="0.2">
      <c r="A309" s="2">
        <v>14824</v>
      </c>
      <c r="B309" s="3">
        <v>34.06</v>
      </c>
      <c r="C309" s="2">
        <v>14823</v>
      </c>
      <c r="D309" s="3">
        <v>10.29</v>
      </c>
      <c r="G309">
        <f t="shared" si="9"/>
        <v>10</v>
      </c>
      <c r="H309">
        <f t="shared" si="10"/>
        <v>10</v>
      </c>
    </row>
    <row r="310" spans="1:8" x14ac:dyDescent="0.2">
      <c r="A310" s="2">
        <v>14855</v>
      </c>
      <c r="B310" s="3">
        <v>34.06</v>
      </c>
      <c r="C310" s="2">
        <v>14854</v>
      </c>
      <c r="D310" s="3">
        <v>10.56</v>
      </c>
      <c r="G310">
        <f t="shared" si="9"/>
        <v>10</v>
      </c>
      <c r="H310">
        <f t="shared" si="10"/>
        <v>10</v>
      </c>
    </row>
    <row r="311" spans="1:8" x14ac:dyDescent="0.2">
      <c r="A311" s="2">
        <v>14885</v>
      </c>
      <c r="B311" s="3">
        <v>34.06</v>
      </c>
      <c r="C311" s="2">
        <v>14884</v>
      </c>
      <c r="D311" s="3">
        <v>10.66</v>
      </c>
      <c r="G311">
        <f t="shared" si="9"/>
        <v>10</v>
      </c>
      <c r="H311">
        <f t="shared" si="10"/>
        <v>10</v>
      </c>
    </row>
    <row r="312" spans="1:8" x14ac:dyDescent="0.2">
      <c r="A312" s="2">
        <v>14916</v>
      </c>
      <c r="B312" s="3">
        <v>34.06</v>
      </c>
      <c r="C312" s="2">
        <v>14915</v>
      </c>
      <c r="D312" s="3">
        <v>11.08</v>
      </c>
      <c r="G312">
        <f t="shared" si="9"/>
        <v>10</v>
      </c>
      <c r="H312">
        <f t="shared" si="10"/>
        <v>10</v>
      </c>
    </row>
    <row r="313" spans="1:8" x14ac:dyDescent="0.2">
      <c r="A313" s="2">
        <v>14946</v>
      </c>
      <c r="B313" s="3">
        <v>34.06</v>
      </c>
      <c r="C313" s="2">
        <v>14945</v>
      </c>
      <c r="D313" s="3">
        <v>10.61</v>
      </c>
      <c r="G313">
        <f t="shared" si="9"/>
        <v>10</v>
      </c>
      <c r="H313">
        <f t="shared" si="10"/>
        <v>10</v>
      </c>
    </row>
    <row r="314" spans="1:8" x14ac:dyDescent="0.2">
      <c r="A314" s="2">
        <v>14977</v>
      </c>
      <c r="B314" s="3">
        <v>34.06</v>
      </c>
      <c r="C314" s="2">
        <v>14976</v>
      </c>
      <c r="D314" s="3">
        <v>10.58</v>
      </c>
      <c r="G314">
        <f t="shared" si="9"/>
        <v>10</v>
      </c>
      <c r="H314">
        <f t="shared" si="10"/>
        <v>10</v>
      </c>
    </row>
    <row r="315" spans="1:8" x14ac:dyDescent="0.2">
      <c r="A315" s="2">
        <v>15008</v>
      </c>
      <c r="B315" s="3">
        <v>34.06</v>
      </c>
      <c r="C315" s="2">
        <v>15007</v>
      </c>
      <c r="D315" s="3">
        <v>10.07</v>
      </c>
      <c r="G315">
        <f t="shared" si="9"/>
        <v>10</v>
      </c>
      <c r="H315">
        <f t="shared" si="10"/>
        <v>10</v>
      </c>
    </row>
    <row r="316" spans="1:8" x14ac:dyDescent="0.2">
      <c r="A316" s="2">
        <v>15036</v>
      </c>
      <c r="B316" s="3">
        <v>34.06</v>
      </c>
      <c r="C316" s="2">
        <v>15035</v>
      </c>
      <c r="D316" s="3">
        <v>9.92</v>
      </c>
      <c r="G316">
        <f t="shared" si="9"/>
        <v>10</v>
      </c>
      <c r="H316">
        <f t="shared" si="10"/>
        <v>10</v>
      </c>
    </row>
    <row r="317" spans="1:8" x14ac:dyDescent="0.2">
      <c r="A317" s="2">
        <v>15067</v>
      </c>
      <c r="B317" s="3">
        <v>34.06</v>
      </c>
      <c r="C317" s="2">
        <v>15066</v>
      </c>
      <c r="D317" s="3">
        <v>9.9600000000000009</v>
      </c>
      <c r="G317">
        <f t="shared" si="9"/>
        <v>10</v>
      </c>
      <c r="H317">
        <f t="shared" si="10"/>
        <v>10</v>
      </c>
    </row>
    <row r="318" spans="1:8" x14ac:dyDescent="0.2">
      <c r="A318" s="2">
        <v>15097</v>
      </c>
      <c r="B318" s="3">
        <v>34.06</v>
      </c>
      <c r="C318" s="2">
        <v>15096</v>
      </c>
      <c r="D318" s="3">
        <v>9.31</v>
      </c>
      <c r="G318">
        <f t="shared" si="9"/>
        <v>10</v>
      </c>
      <c r="H318">
        <f t="shared" si="10"/>
        <v>10</v>
      </c>
    </row>
    <row r="319" spans="1:8" x14ac:dyDescent="0.2">
      <c r="A319" s="2">
        <v>15128</v>
      </c>
      <c r="B319" s="3">
        <v>34.06</v>
      </c>
      <c r="C319" s="2">
        <v>15127</v>
      </c>
      <c r="D319" s="3">
        <v>9.35</v>
      </c>
      <c r="G319">
        <f t="shared" si="9"/>
        <v>10</v>
      </c>
      <c r="H319">
        <f t="shared" si="10"/>
        <v>10</v>
      </c>
    </row>
    <row r="320" spans="1:8" x14ac:dyDescent="0.2">
      <c r="A320" s="2">
        <v>15158</v>
      </c>
      <c r="B320" s="3">
        <v>34.06</v>
      </c>
      <c r="C320" s="2">
        <v>15157</v>
      </c>
      <c r="D320" s="3">
        <v>9.85</v>
      </c>
      <c r="G320">
        <f t="shared" si="9"/>
        <v>10</v>
      </c>
      <c r="H320">
        <f t="shared" si="10"/>
        <v>10</v>
      </c>
    </row>
    <row r="321" spans="1:8" x14ac:dyDescent="0.2">
      <c r="A321" s="2">
        <v>15189</v>
      </c>
      <c r="B321" s="3">
        <v>34.06</v>
      </c>
      <c r="C321" s="2">
        <v>15188</v>
      </c>
      <c r="D321" s="3">
        <v>10.39</v>
      </c>
      <c r="G321">
        <f t="shared" si="9"/>
        <v>10</v>
      </c>
      <c r="H321">
        <f t="shared" si="10"/>
        <v>10</v>
      </c>
    </row>
    <row r="322" spans="1:8" x14ac:dyDescent="0.2">
      <c r="A322" s="2">
        <v>15220</v>
      </c>
      <c r="B322" s="3">
        <v>34.06</v>
      </c>
      <c r="C322" s="2">
        <v>15218</v>
      </c>
      <c r="D322" s="3">
        <v>10.3</v>
      </c>
      <c r="G322">
        <f t="shared" si="9"/>
        <v>10</v>
      </c>
      <c r="H322">
        <f t="shared" si="10"/>
        <v>10</v>
      </c>
    </row>
    <row r="323" spans="1:8" x14ac:dyDescent="0.2">
      <c r="A323" s="2">
        <v>15250</v>
      </c>
      <c r="B323" s="3">
        <v>34.06</v>
      </c>
      <c r="C323" s="2">
        <v>15249</v>
      </c>
      <c r="D323" s="3">
        <v>10.199999999999999</v>
      </c>
      <c r="G323">
        <f t="shared" ref="G323:G386" si="11">IF(AND(A323&gt;=DATE(1973,1,1), A323&lt;=DATE(1982,12,31)), 10000, 10)</f>
        <v>10</v>
      </c>
      <c r="H323">
        <f t="shared" ref="H323:H386" si="12">IF(AND(A323&gt;=DATE(1983,1,1), A323&lt;=DATE(2007,12,31)), 10000, 10)</f>
        <v>10</v>
      </c>
    </row>
    <row r="324" spans="1:8" x14ac:dyDescent="0.2">
      <c r="A324" s="2">
        <v>15281</v>
      </c>
      <c r="B324" s="3">
        <v>34.06</v>
      </c>
      <c r="C324" s="2">
        <v>15280</v>
      </c>
      <c r="D324" s="3">
        <v>9.5</v>
      </c>
      <c r="G324">
        <f t="shared" si="11"/>
        <v>10</v>
      </c>
      <c r="H324">
        <f t="shared" si="12"/>
        <v>10</v>
      </c>
    </row>
    <row r="325" spans="1:8" x14ac:dyDescent="0.2">
      <c r="A325" s="2">
        <v>15311</v>
      </c>
      <c r="B325" s="3">
        <v>34.06</v>
      </c>
      <c r="C325" s="2">
        <v>15309</v>
      </c>
      <c r="D325" s="3">
        <v>9.1</v>
      </c>
      <c r="G325">
        <f t="shared" si="11"/>
        <v>10</v>
      </c>
      <c r="H325">
        <f t="shared" si="12"/>
        <v>10</v>
      </c>
    </row>
    <row r="326" spans="1:8" x14ac:dyDescent="0.2">
      <c r="A326" s="2">
        <v>15342</v>
      </c>
      <c r="B326" s="3">
        <v>34.06</v>
      </c>
      <c r="C326" s="2">
        <v>15341</v>
      </c>
      <c r="D326" s="3">
        <v>8.69</v>
      </c>
      <c r="G326">
        <f t="shared" si="11"/>
        <v>10</v>
      </c>
      <c r="H326">
        <f t="shared" si="12"/>
        <v>10</v>
      </c>
    </row>
    <row r="327" spans="1:8" x14ac:dyDescent="0.2">
      <c r="A327" s="2">
        <v>15373</v>
      </c>
      <c r="B327" s="3">
        <v>34.06</v>
      </c>
      <c r="C327" s="2">
        <v>15372</v>
      </c>
      <c r="D327" s="3">
        <v>8.81</v>
      </c>
      <c r="G327">
        <f t="shared" si="11"/>
        <v>10</v>
      </c>
      <c r="H327">
        <f t="shared" si="12"/>
        <v>10</v>
      </c>
    </row>
    <row r="328" spans="1:8" x14ac:dyDescent="0.2">
      <c r="A328" s="2">
        <v>15401</v>
      </c>
      <c r="B328" s="3">
        <v>34.06</v>
      </c>
      <c r="C328" s="2">
        <v>15400</v>
      </c>
      <c r="D328" s="3">
        <v>8.59</v>
      </c>
      <c r="G328">
        <f t="shared" si="11"/>
        <v>10</v>
      </c>
      <c r="H328">
        <f t="shared" si="12"/>
        <v>10</v>
      </c>
    </row>
    <row r="329" spans="1:8" x14ac:dyDescent="0.2">
      <c r="A329" s="2">
        <v>15432</v>
      </c>
      <c r="B329" s="3">
        <v>34.06</v>
      </c>
      <c r="C329" s="2">
        <v>15431</v>
      </c>
      <c r="D329" s="3">
        <v>8.01</v>
      </c>
      <c r="G329">
        <f t="shared" si="11"/>
        <v>10</v>
      </c>
      <c r="H329">
        <f t="shared" si="12"/>
        <v>10</v>
      </c>
    </row>
    <row r="330" spans="1:8" x14ac:dyDescent="0.2">
      <c r="A330" s="2">
        <v>15462</v>
      </c>
      <c r="B330" s="3">
        <v>34.06</v>
      </c>
      <c r="C330" s="2">
        <v>15461</v>
      </c>
      <c r="D330" s="3">
        <v>7.66</v>
      </c>
      <c r="G330">
        <f t="shared" si="11"/>
        <v>10</v>
      </c>
      <c r="H330">
        <f t="shared" si="12"/>
        <v>10</v>
      </c>
    </row>
    <row r="331" spans="1:8" x14ac:dyDescent="0.2">
      <c r="A331" s="2">
        <v>15493</v>
      </c>
      <c r="B331" s="3">
        <v>34.06</v>
      </c>
      <c r="C331" s="2">
        <v>15490</v>
      </c>
      <c r="D331" s="3">
        <v>8.15</v>
      </c>
      <c r="G331">
        <f t="shared" si="11"/>
        <v>10</v>
      </c>
      <c r="H331">
        <f t="shared" si="12"/>
        <v>10</v>
      </c>
    </row>
    <row r="332" spans="1:8" x14ac:dyDescent="0.2">
      <c r="A332" s="2">
        <v>15523</v>
      </c>
      <c r="B332" s="3">
        <v>34.06</v>
      </c>
      <c r="C332" s="2">
        <v>15522</v>
      </c>
      <c r="D332" s="3">
        <v>8.3000000000000007</v>
      </c>
      <c r="G332">
        <f t="shared" si="11"/>
        <v>10</v>
      </c>
      <c r="H332">
        <f t="shared" si="12"/>
        <v>10</v>
      </c>
    </row>
    <row r="333" spans="1:8" x14ac:dyDescent="0.2">
      <c r="A333" s="2">
        <v>15554</v>
      </c>
      <c r="B333" s="3">
        <v>34.06</v>
      </c>
      <c r="C333" s="2">
        <v>15553</v>
      </c>
      <c r="D333" s="3">
        <v>8.56</v>
      </c>
      <c r="G333">
        <f t="shared" si="11"/>
        <v>10</v>
      </c>
      <c r="H333">
        <f t="shared" si="12"/>
        <v>10</v>
      </c>
    </row>
    <row r="334" spans="1:8" x14ac:dyDescent="0.2">
      <c r="A334" s="2">
        <v>15585</v>
      </c>
      <c r="B334" s="3">
        <v>34.06</v>
      </c>
      <c r="C334" s="2">
        <v>15584</v>
      </c>
      <c r="D334" s="3">
        <v>8.6199999999999992</v>
      </c>
      <c r="G334">
        <f t="shared" si="11"/>
        <v>10</v>
      </c>
      <c r="H334">
        <f t="shared" si="12"/>
        <v>10</v>
      </c>
    </row>
    <row r="335" spans="1:8" x14ac:dyDescent="0.2">
      <c r="A335" s="2">
        <v>15615</v>
      </c>
      <c r="B335" s="3">
        <v>34.06</v>
      </c>
      <c r="C335" s="2">
        <v>15614</v>
      </c>
      <c r="D335" s="3">
        <v>8.85</v>
      </c>
      <c r="G335">
        <f t="shared" si="11"/>
        <v>10</v>
      </c>
      <c r="H335">
        <f t="shared" si="12"/>
        <v>10</v>
      </c>
    </row>
    <row r="336" spans="1:8" x14ac:dyDescent="0.2">
      <c r="A336" s="2">
        <v>15646</v>
      </c>
      <c r="B336" s="3">
        <v>34.06</v>
      </c>
      <c r="C336" s="2">
        <v>15645</v>
      </c>
      <c r="D336" s="3">
        <v>9.42</v>
      </c>
      <c r="G336">
        <f t="shared" si="11"/>
        <v>10</v>
      </c>
      <c r="H336">
        <f t="shared" si="12"/>
        <v>10</v>
      </c>
    </row>
    <row r="337" spans="1:8" x14ac:dyDescent="0.2">
      <c r="A337" s="2">
        <v>15676</v>
      </c>
      <c r="B337" s="3">
        <v>34.06</v>
      </c>
      <c r="C337" s="2">
        <v>15675</v>
      </c>
      <c r="D337" s="3">
        <v>9.2899999999999991</v>
      </c>
      <c r="G337">
        <f t="shared" si="11"/>
        <v>10</v>
      </c>
      <c r="H337">
        <f t="shared" si="12"/>
        <v>10</v>
      </c>
    </row>
    <row r="338" spans="1:8" x14ac:dyDescent="0.2">
      <c r="A338" s="2">
        <v>15707</v>
      </c>
      <c r="B338" s="3">
        <v>34.06</v>
      </c>
      <c r="C338" s="2">
        <v>15706</v>
      </c>
      <c r="D338" s="3">
        <v>9.77</v>
      </c>
      <c r="G338">
        <f t="shared" si="11"/>
        <v>10</v>
      </c>
      <c r="H338">
        <f t="shared" si="12"/>
        <v>10</v>
      </c>
    </row>
    <row r="339" spans="1:8" x14ac:dyDescent="0.2">
      <c r="A339" s="2">
        <v>15738</v>
      </c>
      <c r="B339" s="3">
        <v>34.06</v>
      </c>
      <c r="C339" s="2">
        <v>15736</v>
      </c>
      <c r="D339" s="3">
        <v>10.47</v>
      </c>
      <c r="G339">
        <f t="shared" si="11"/>
        <v>10</v>
      </c>
      <c r="H339">
        <f t="shared" si="12"/>
        <v>10</v>
      </c>
    </row>
    <row r="340" spans="1:8" x14ac:dyDescent="0.2">
      <c r="A340" s="2">
        <v>15766</v>
      </c>
      <c r="B340" s="3">
        <v>34.06</v>
      </c>
      <c r="C340" s="2">
        <v>15764</v>
      </c>
      <c r="D340" s="3">
        <v>11</v>
      </c>
      <c r="G340">
        <f t="shared" si="11"/>
        <v>10</v>
      </c>
      <c r="H340">
        <f t="shared" si="12"/>
        <v>10</v>
      </c>
    </row>
    <row r="341" spans="1:8" x14ac:dyDescent="0.2">
      <c r="A341" s="2">
        <v>15797</v>
      </c>
      <c r="B341" s="3">
        <v>34.06</v>
      </c>
      <c r="C341" s="2">
        <v>15796</v>
      </c>
      <c r="D341" s="3">
        <v>11.58</v>
      </c>
      <c r="G341">
        <f t="shared" si="11"/>
        <v>10</v>
      </c>
      <c r="H341">
        <f t="shared" si="12"/>
        <v>10</v>
      </c>
    </row>
    <row r="342" spans="1:8" x14ac:dyDescent="0.2">
      <c r="A342" s="2">
        <v>15827</v>
      </c>
      <c r="B342" s="3">
        <v>34.06</v>
      </c>
      <c r="C342" s="2">
        <v>15826</v>
      </c>
      <c r="D342" s="3">
        <v>11.59</v>
      </c>
      <c r="G342">
        <f t="shared" si="11"/>
        <v>10</v>
      </c>
      <c r="H342">
        <f t="shared" si="12"/>
        <v>10</v>
      </c>
    </row>
    <row r="343" spans="1:8" x14ac:dyDescent="0.2">
      <c r="A343" s="2">
        <v>15858</v>
      </c>
      <c r="B343" s="3">
        <v>34.06</v>
      </c>
      <c r="C343" s="2">
        <v>15855</v>
      </c>
      <c r="D343" s="3">
        <v>12.11</v>
      </c>
      <c r="G343">
        <f t="shared" si="11"/>
        <v>10</v>
      </c>
      <c r="H343">
        <f t="shared" si="12"/>
        <v>10</v>
      </c>
    </row>
    <row r="344" spans="1:8" x14ac:dyDescent="0.2">
      <c r="A344" s="2">
        <v>15888</v>
      </c>
      <c r="B344" s="3">
        <v>34.06</v>
      </c>
      <c r="C344" s="2">
        <v>15887</v>
      </c>
      <c r="D344" s="3">
        <v>12.35</v>
      </c>
      <c r="G344">
        <f t="shared" si="11"/>
        <v>10</v>
      </c>
      <c r="H344">
        <f t="shared" si="12"/>
        <v>10</v>
      </c>
    </row>
    <row r="345" spans="1:8" x14ac:dyDescent="0.2">
      <c r="A345" s="2">
        <v>15919</v>
      </c>
      <c r="B345" s="3">
        <v>34.06</v>
      </c>
      <c r="C345" s="2">
        <v>15918</v>
      </c>
      <c r="D345" s="3">
        <v>11.68</v>
      </c>
      <c r="G345">
        <f t="shared" si="11"/>
        <v>10</v>
      </c>
      <c r="H345">
        <f t="shared" si="12"/>
        <v>10</v>
      </c>
    </row>
    <row r="346" spans="1:8" x14ac:dyDescent="0.2">
      <c r="A346" s="2">
        <v>15950</v>
      </c>
      <c r="B346" s="3">
        <v>34.06</v>
      </c>
      <c r="C346" s="2">
        <v>15949</v>
      </c>
      <c r="D346" s="3">
        <v>11.8</v>
      </c>
      <c r="G346">
        <f t="shared" si="11"/>
        <v>10</v>
      </c>
      <c r="H346">
        <f t="shared" si="12"/>
        <v>10</v>
      </c>
    </row>
    <row r="347" spans="1:8" x14ac:dyDescent="0.2">
      <c r="A347" s="2">
        <v>15980</v>
      </c>
      <c r="B347" s="3">
        <v>34.06</v>
      </c>
      <c r="C347" s="2">
        <v>15979</v>
      </c>
      <c r="D347" s="3">
        <v>12.08</v>
      </c>
      <c r="G347">
        <f t="shared" si="11"/>
        <v>10</v>
      </c>
      <c r="H347">
        <f t="shared" si="12"/>
        <v>10</v>
      </c>
    </row>
    <row r="348" spans="1:8" x14ac:dyDescent="0.2">
      <c r="A348" s="2">
        <v>16011</v>
      </c>
      <c r="B348" s="3">
        <v>34.06</v>
      </c>
      <c r="C348" s="2">
        <v>16009</v>
      </c>
      <c r="D348" s="3">
        <v>11.92</v>
      </c>
      <c r="G348">
        <f t="shared" si="11"/>
        <v>10</v>
      </c>
      <c r="H348">
        <f t="shared" si="12"/>
        <v>10</v>
      </c>
    </row>
    <row r="349" spans="1:8" x14ac:dyDescent="0.2">
      <c r="A349" s="2">
        <v>16041</v>
      </c>
      <c r="B349" s="3">
        <v>34.06</v>
      </c>
      <c r="C349" s="2">
        <v>16040</v>
      </c>
      <c r="D349" s="3">
        <v>11.02</v>
      </c>
      <c r="G349">
        <f t="shared" si="11"/>
        <v>10</v>
      </c>
      <c r="H349">
        <f t="shared" si="12"/>
        <v>10</v>
      </c>
    </row>
    <row r="350" spans="1:8" x14ac:dyDescent="0.2">
      <c r="A350" s="2">
        <v>16072</v>
      </c>
      <c r="B350" s="3">
        <v>34.06</v>
      </c>
      <c r="C350" s="2">
        <v>16071</v>
      </c>
      <c r="D350" s="3">
        <v>11.67</v>
      </c>
      <c r="G350">
        <f t="shared" si="11"/>
        <v>10</v>
      </c>
      <c r="H350">
        <f t="shared" si="12"/>
        <v>10</v>
      </c>
    </row>
    <row r="351" spans="1:8" x14ac:dyDescent="0.2">
      <c r="A351" s="2">
        <v>16103</v>
      </c>
      <c r="B351" s="3">
        <v>34.06</v>
      </c>
      <c r="C351" s="2">
        <v>16102</v>
      </c>
      <c r="D351" s="3">
        <v>11.85</v>
      </c>
      <c r="G351">
        <f t="shared" si="11"/>
        <v>10</v>
      </c>
      <c r="H351">
        <f t="shared" si="12"/>
        <v>10</v>
      </c>
    </row>
    <row r="352" spans="1:8" x14ac:dyDescent="0.2">
      <c r="A352" s="2">
        <v>16132</v>
      </c>
      <c r="B352" s="3">
        <v>34.06</v>
      </c>
      <c r="C352" s="2">
        <v>16131</v>
      </c>
      <c r="D352" s="3">
        <v>11.82</v>
      </c>
      <c r="G352">
        <f t="shared" si="11"/>
        <v>10</v>
      </c>
      <c r="H352">
        <f t="shared" si="12"/>
        <v>10</v>
      </c>
    </row>
    <row r="353" spans="1:8" x14ac:dyDescent="0.2">
      <c r="A353" s="2">
        <v>16163</v>
      </c>
      <c r="B353" s="3">
        <v>34.06</v>
      </c>
      <c r="C353" s="2">
        <v>16162</v>
      </c>
      <c r="D353" s="3">
        <v>12.02</v>
      </c>
      <c r="G353">
        <f t="shared" si="11"/>
        <v>10</v>
      </c>
      <c r="H353">
        <f t="shared" si="12"/>
        <v>10</v>
      </c>
    </row>
    <row r="354" spans="1:8" x14ac:dyDescent="0.2">
      <c r="A354" s="2">
        <v>16193</v>
      </c>
      <c r="B354" s="3">
        <v>34.06</v>
      </c>
      <c r="C354" s="2">
        <v>16191</v>
      </c>
      <c r="D354" s="3">
        <v>11.87</v>
      </c>
      <c r="G354">
        <f t="shared" si="11"/>
        <v>10</v>
      </c>
      <c r="H354">
        <f t="shared" si="12"/>
        <v>10</v>
      </c>
    </row>
    <row r="355" spans="1:8" x14ac:dyDescent="0.2">
      <c r="A355" s="2">
        <v>16224</v>
      </c>
      <c r="B355" s="3">
        <v>34.06</v>
      </c>
      <c r="C355" s="2">
        <v>16223</v>
      </c>
      <c r="D355" s="3">
        <v>12.35</v>
      </c>
      <c r="G355">
        <f t="shared" si="11"/>
        <v>10</v>
      </c>
      <c r="H355">
        <f t="shared" si="12"/>
        <v>10</v>
      </c>
    </row>
    <row r="356" spans="1:8" x14ac:dyDescent="0.2">
      <c r="A356" s="2">
        <v>16254</v>
      </c>
      <c r="B356" s="3">
        <v>34.06</v>
      </c>
      <c r="C356" s="2">
        <v>16253</v>
      </c>
      <c r="D356" s="3">
        <v>12.98</v>
      </c>
      <c r="G356">
        <f t="shared" si="11"/>
        <v>10</v>
      </c>
      <c r="H356">
        <f t="shared" si="12"/>
        <v>10</v>
      </c>
    </row>
    <row r="357" spans="1:8" x14ac:dyDescent="0.2">
      <c r="A357" s="2">
        <v>16285</v>
      </c>
      <c r="B357" s="3">
        <v>34.06</v>
      </c>
      <c r="C357" s="2">
        <v>16284</v>
      </c>
      <c r="D357" s="3">
        <v>12.71</v>
      </c>
      <c r="G357">
        <f t="shared" si="11"/>
        <v>10</v>
      </c>
      <c r="H357">
        <f t="shared" si="12"/>
        <v>10</v>
      </c>
    </row>
    <row r="358" spans="1:8" x14ac:dyDescent="0.2">
      <c r="A358" s="2">
        <v>16316</v>
      </c>
      <c r="B358" s="3">
        <v>34.06</v>
      </c>
      <c r="C358" s="2">
        <v>16315</v>
      </c>
      <c r="D358" s="3">
        <v>12.82</v>
      </c>
      <c r="G358">
        <f t="shared" si="11"/>
        <v>10</v>
      </c>
      <c r="H358">
        <f t="shared" si="12"/>
        <v>10</v>
      </c>
    </row>
    <row r="359" spans="1:8" x14ac:dyDescent="0.2">
      <c r="A359" s="2">
        <v>16346</v>
      </c>
      <c r="B359" s="3">
        <v>34.06</v>
      </c>
      <c r="C359" s="2">
        <v>16345</v>
      </c>
      <c r="D359" s="3">
        <v>12.78</v>
      </c>
      <c r="G359">
        <f t="shared" si="11"/>
        <v>10</v>
      </c>
      <c r="H359">
        <f t="shared" si="12"/>
        <v>10</v>
      </c>
    </row>
    <row r="360" spans="1:8" x14ac:dyDescent="0.2">
      <c r="A360" s="2">
        <v>16377</v>
      </c>
      <c r="B360" s="3">
        <v>34.06</v>
      </c>
      <c r="C360" s="2">
        <v>16376</v>
      </c>
      <c r="D360" s="3">
        <v>12.78</v>
      </c>
      <c r="G360">
        <f t="shared" si="11"/>
        <v>10</v>
      </c>
      <c r="H360">
        <f t="shared" si="12"/>
        <v>10</v>
      </c>
    </row>
    <row r="361" spans="1:8" x14ac:dyDescent="0.2">
      <c r="A361" s="2">
        <v>16407</v>
      </c>
      <c r="B361" s="3">
        <v>34.06</v>
      </c>
      <c r="C361" s="2">
        <v>16406</v>
      </c>
      <c r="D361" s="3">
        <v>12.83</v>
      </c>
      <c r="G361">
        <f t="shared" si="11"/>
        <v>10</v>
      </c>
      <c r="H361">
        <f t="shared" si="12"/>
        <v>10</v>
      </c>
    </row>
    <row r="362" spans="1:8" x14ac:dyDescent="0.2">
      <c r="A362" s="2">
        <v>16438</v>
      </c>
      <c r="B362" s="3">
        <v>35</v>
      </c>
      <c r="C362" s="2">
        <v>16436</v>
      </c>
      <c r="D362" s="3">
        <v>13.28</v>
      </c>
      <c r="G362">
        <f t="shared" si="11"/>
        <v>10</v>
      </c>
      <c r="H362">
        <f t="shared" si="12"/>
        <v>10</v>
      </c>
    </row>
    <row r="363" spans="1:8" x14ac:dyDescent="0.2">
      <c r="A363" s="2">
        <v>16469</v>
      </c>
      <c r="B363" s="3">
        <v>35</v>
      </c>
      <c r="C363" s="2">
        <v>16468</v>
      </c>
      <c r="D363" s="3">
        <v>13.47</v>
      </c>
      <c r="G363">
        <f t="shared" si="11"/>
        <v>10</v>
      </c>
      <c r="H363">
        <f t="shared" si="12"/>
        <v>10</v>
      </c>
    </row>
    <row r="364" spans="1:8" x14ac:dyDescent="0.2">
      <c r="A364" s="2">
        <v>16497</v>
      </c>
      <c r="B364" s="3">
        <v>35</v>
      </c>
      <c r="C364" s="2">
        <v>16496</v>
      </c>
      <c r="D364" s="3">
        <v>14.3</v>
      </c>
      <c r="G364">
        <f t="shared" si="11"/>
        <v>10</v>
      </c>
      <c r="H364">
        <f t="shared" si="12"/>
        <v>10</v>
      </c>
    </row>
    <row r="365" spans="1:8" x14ac:dyDescent="0.2">
      <c r="A365" s="2">
        <v>16528</v>
      </c>
      <c r="B365" s="3">
        <v>35</v>
      </c>
      <c r="C365" s="2">
        <v>16527</v>
      </c>
      <c r="D365" s="3">
        <v>13.64</v>
      </c>
      <c r="G365">
        <f t="shared" si="11"/>
        <v>10</v>
      </c>
      <c r="H365">
        <f t="shared" si="12"/>
        <v>10</v>
      </c>
    </row>
    <row r="366" spans="1:8" x14ac:dyDescent="0.2">
      <c r="A366" s="2">
        <v>16558</v>
      </c>
      <c r="B366" s="3">
        <v>35</v>
      </c>
      <c r="C366" s="2">
        <v>16557</v>
      </c>
      <c r="D366" s="3">
        <v>14.84</v>
      </c>
      <c r="G366">
        <f t="shared" si="11"/>
        <v>10</v>
      </c>
      <c r="H366">
        <f t="shared" si="12"/>
        <v>10</v>
      </c>
    </row>
    <row r="367" spans="1:8" x14ac:dyDescent="0.2">
      <c r="A367" s="2">
        <v>16589</v>
      </c>
      <c r="B367" s="3">
        <v>35</v>
      </c>
      <c r="C367" s="2">
        <v>16588</v>
      </c>
      <c r="D367" s="3">
        <v>15.01</v>
      </c>
      <c r="G367">
        <f t="shared" si="11"/>
        <v>10</v>
      </c>
      <c r="H367">
        <f t="shared" si="12"/>
        <v>10</v>
      </c>
    </row>
    <row r="368" spans="1:8" x14ac:dyDescent="0.2">
      <c r="A368" s="2">
        <v>16619</v>
      </c>
      <c r="B368" s="3">
        <v>35</v>
      </c>
      <c r="C368" s="2">
        <v>16618</v>
      </c>
      <c r="D368" s="3">
        <v>14.96</v>
      </c>
      <c r="G368">
        <f t="shared" si="11"/>
        <v>10</v>
      </c>
      <c r="H368">
        <f t="shared" si="12"/>
        <v>10</v>
      </c>
    </row>
    <row r="369" spans="1:8" x14ac:dyDescent="0.2">
      <c r="A369" s="2">
        <v>16650</v>
      </c>
      <c r="B369" s="3">
        <v>35</v>
      </c>
      <c r="C369" s="2">
        <v>16649</v>
      </c>
      <c r="D369" s="3">
        <v>14.66</v>
      </c>
      <c r="G369">
        <f t="shared" si="11"/>
        <v>10</v>
      </c>
      <c r="H369">
        <f t="shared" si="12"/>
        <v>10</v>
      </c>
    </row>
    <row r="370" spans="1:8" x14ac:dyDescent="0.2">
      <c r="A370" s="2">
        <v>16681</v>
      </c>
      <c r="B370" s="3">
        <v>35</v>
      </c>
      <c r="C370" s="2">
        <v>16680</v>
      </c>
      <c r="D370" s="3">
        <v>15.51</v>
      </c>
      <c r="G370">
        <f t="shared" si="11"/>
        <v>10</v>
      </c>
      <c r="H370">
        <f t="shared" si="12"/>
        <v>10</v>
      </c>
    </row>
    <row r="371" spans="1:8" x14ac:dyDescent="0.2">
      <c r="A371" s="2">
        <v>16711</v>
      </c>
      <c r="B371" s="3">
        <v>35</v>
      </c>
      <c r="C371" s="2">
        <v>16709</v>
      </c>
      <c r="D371" s="3">
        <v>16.16</v>
      </c>
      <c r="G371">
        <f t="shared" si="11"/>
        <v>10</v>
      </c>
      <c r="H371">
        <f t="shared" si="12"/>
        <v>10</v>
      </c>
    </row>
    <row r="372" spans="1:8" x14ac:dyDescent="0.2">
      <c r="A372" s="2">
        <v>16742</v>
      </c>
      <c r="B372" s="3">
        <v>35</v>
      </c>
      <c r="C372" s="2">
        <v>16741</v>
      </c>
      <c r="D372" s="3">
        <v>16.649999999999999</v>
      </c>
      <c r="G372">
        <f t="shared" si="11"/>
        <v>10</v>
      </c>
      <c r="H372">
        <f t="shared" si="12"/>
        <v>10</v>
      </c>
    </row>
    <row r="373" spans="1:8" x14ac:dyDescent="0.2">
      <c r="A373" s="2">
        <v>16772</v>
      </c>
      <c r="B373" s="3">
        <v>35</v>
      </c>
      <c r="C373" s="2">
        <v>16771</v>
      </c>
      <c r="D373" s="3">
        <v>17.190000000000001</v>
      </c>
      <c r="G373">
        <f t="shared" si="11"/>
        <v>10</v>
      </c>
      <c r="H373">
        <f t="shared" si="12"/>
        <v>10</v>
      </c>
    </row>
    <row r="374" spans="1:8" x14ac:dyDescent="0.2">
      <c r="A374" s="2">
        <v>16803</v>
      </c>
      <c r="B374" s="3">
        <v>35</v>
      </c>
      <c r="C374" s="2">
        <v>16802</v>
      </c>
      <c r="D374" s="3">
        <v>17.36</v>
      </c>
      <c r="G374">
        <f t="shared" si="11"/>
        <v>10</v>
      </c>
      <c r="H374">
        <f t="shared" si="12"/>
        <v>10</v>
      </c>
    </row>
    <row r="375" spans="1:8" x14ac:dyDescent="0.2">
      <c r="A375" s="2">
        <v>16834</v>
      </c>
      <c r="B375" s="3">
        <v>35</v>
      </c>
      <c r="C375" s="2">
        <v>16833</v>
      </c>
      <c r="D375" s="3">
        <v>18.57</v>
      </c>
      <c r="G375">
        <f t="shared" si="11"/>
        <v>10</v>
      </c>
      <c r="H375">
        <f t="shared" si="12"/>
        <v>10</v>
      </c>
    </row>
    <row r="376" spans="1:8" x14ac:dyDescent="0.2">
      <c r="A376" s="2">
        <v>16862</v>
      </c>
      <c r="B376" s="3">
        <v>35</v>
      </c>
      <c r="C376" s="2">
        <v>16861</v>
      </c>
      <c r="D376" s="3">
        <v>17.28</v>
      </c>
      <c r="G376">
        <f t="shared" si="11"/>
        <v>10</v>
      </c>
      <c r="H376">
        <f t="shared" si="12"/>
        <v>10</v>
      </c>
    </row>
    <row r="377" spans="1:8" x14ac:dyDescent="0.2">
      <c r="A377" s="2">
        <v>16893</v>
      </c>
      <c r="B377" s="3">
        <v>35</v>
      </c>
      <c r="C377" s="2">
        <v>16891</v>
      </c>
      <c r="D377" s="3">
        <v>18.079999999999998</v>
      </c>
      <c r="G377">
        <f t="shared" si="11"/>
        <v>10</v>
      </c>
      <c r="H377">
        <f t="shared" si="12"/>
        <v>10</v>
      </c>
    </row>
    <row r="378" spans="1:8" x14ac:dyDescent="0.2">
      <c r="A378" s="2">
        <v>16923</v>
      </c>
      <c r="B378" s="3">
        <v>35</v>
      </c>
      <c r="C378" s="2">
        <v>16922</v>
      </c>
      <c r="D378" s="3">
        <v>18.760000000000002</v>
      </c>
      <c r="G378">
        <f t="shared" si="11"/>
        <v>10</v>
      </c>
      <c r="H378">
        <f t="shared" si="12"/>
        <v>10</v>
      </c>
    </row>
    <row r="379" spans="1:8" x14ac:dyDescent="0.2">
      <c r="A379" s="2">
        <v>16954</v>
      </c>
      <c r="B379" s="3">
        <v>35</v>
      </c>
      <c r="C379" s="2">
        <v>16953</v>
      </c>
      <c r="D379" s="3">
        <v>19.18</v>
      </c>
      <c r="G379">
        <f t="shared" si="11"/>
        <v>10</v>
      </c>
      <c r="H379">
        <f t="shared" si="12"/>
        <v>10</v>
      </c>
    </row>
    <row r="380" spans="1:8" x14ac:dyDescent="0.2">
      <c r="A380" s="2">
        <v>16984</v>
      </c>
      <c r="B380" s="3">
        <v>35</v>
      </c>
      <c r="C380" s="2">
        <v>16981</v>
      </c>
      <c r="D380" s="3">
        <v>18.43</v>
      </c>
      <c r="G380">
        <f t="shared" si="11"/>
        <v>10</v>
      </c>
      <c r="H380">
        <f t="shared" si="12"/>
        <v>10</v>
      </c>
    </row>
    <row r="381" spans="1:8" x14ac:dyDescent="0.2">
      <c r="A381" s="2">
        <v>17015</v>
      </c>
      <c r="B381" s="3">
        <v>35</v>
      </c>
      <c r="C381" s="2">
        <v>17014</v>
      </c>
      <c r="D381" s="3">
        <v>17.96</v>
      </c>
      <c r="G381">
        <f t="shared" si="11"/>
        <v>10</v>
      </c>
      <c r="H381">
        <f t="shared" si="12"/>
        <v>10</v>
      </c>
    </row>
    <row r="382" spans="1:8" x14ac:dyDescent="0.2">
      <c r="A382" s="2">
        <v>17046</v>
      </c>
      <c r="B382" s="3">
        <v>35</v>
      </c>
      <c r="C382" s="2">
        <v>17044</v>
      </c>
      <c r="D382" s="3">
        <v>16.649999999999999</v>
      </c>
      <c r="G382">
        <f t="shared" si="11"/>
        <v>10</v>
      </c>
      <c r="H382">
        <f t="shared" si="12"/>
        <v>10</v>
      </c>
    </row>
    <row r="383" spans="1:8" x14ac:dyDescent="0.2">
      <c r="A383" s="2">
        <v>17076</v>
      </c>
      <c r="B383" s="3">
        <v>35</v>
      </c>
      <c r="C383" s="2">
        <v>17075</v>
      </c>
      <c r="D383" s="3">
        <v>14.96</v>
      </c>
      <c r="G383">
        <f t="shared" si="11"/>
        <v>10</v>
      </c>
      <c r="H383">
        <f t="shared" si="12"/>
        <v>10</v>
      </c>
    </row>
    <row r="384" spans="1:8" x14ac:dyDescent="0.2">
      <c r="A384" s="2">
        <v>17107</v>
      </c>
      <c r="B384" s="3">
        <v>35</v>
      </c>
      <c r="C384" s="2">
        <v>17106</v>
      </c>
      <c r="D384" s="3">
        <v>14.84</v>
      </c>
      <c r="G384">
        <f t="shared" si="11"/>
        <v>10</v>
      </c>
      <c r="H384">
        <f t="shared" si="12"/>
        <v>10</v>
      </c>
    </row>
    <row r="385" spans="1:8" x14ac:dyDescent="0.2">
      <c r="A385" s="2">
        <v>17137</v>
      </c>
      <c r="B385" s="3">
        <v>35</v>
      </c>
      <c r="C385" s="2">
        <v>17136</v>
      </c>
      <c r="D385" s="3">
        <v>14.67</v>
      </c>
      <c r="G385">
        <f t="shared" si="11"/>
        <v>10</v>
      </c>
      <c r="H385">
        <f t="shared" si="12"/>
        <v>10</v>
      </c>
    </row>
    <row r="386" spans="1:8" x14ac:dyDescent="0.2">
      <c r="A386" s="2">
        <v>17168</v>
      </c>
      <c r="B386" s="3">
        <v>35</v>
      </c>
      <c r="C386" s="2">
        <v>17167</v>
      </c>
      <c r="D386" s="3">
        <v>15.3</v>
      </c>
      <c r="G386">
        <f t="shared" si="11"/>
        <v>10</v>
      </c>
      <c r="H386">
        <f t="shared" si="12"/>
        <v>10</v>
      </c>
    </row>
    <row r="387" spans="1:8" x14ac:dyDescent="0.2">
      <c r="A387" s="2">
        <v>17199</v>
      </c>
      <c r="B387" s="3">
        <v>35</v>
      </c>
      <c r="C387" s="2">
        <v>17198</v>
      </c>
      <c r="D387" s="3">
        <v>15.66</v>
      </c>
      <c r="G387">
        <f t="shared" ref="G387:G450" si="13">IF(AND(A387&gt;=DATE(1973,1,1), A387&lt;=DATE(1982,12,31)), 10000, 10)</f>
        <v>10</v>
      </c>
      <c r="H387">
        <f t="shared" ref="H387:H450" si="14">IF(AND(A387&gt;=DATE(1983,1,1), A387&lt;=DATE(2007,12,31)), 10000, 10)</f>
        <v>10</v>
      </c>
    </row>
    <row r="388" spans="1:8" x14ac:dyDescent="0.2">
      <c r="A388" s="2">
        <v>17227</v>
      </c>
      <c r="B388" s="3">
        <v>35</v>
      </c>
      <c r="C388" s="2">
        <v>17226</v>
      </c>
      <c r="D388" s="3">
        <v>15.43</v>
      </c>
      <c r="G388">
        <f t="shared" si="13"/>
        <v>10</v>
      </c>
      <c r="H388">
        <f t="shared" si="14"/>
        <v>10</v>
      </c>
    </row>
    <row r="389" spans="1:8" x14ac:dyDescent="0.2">
      <c r="A389" s="2">
        <v>17258</v>
      </c>
      <c r="B389" s="3">
        <v>35</v>
      </c>
      <c r="C389" s="2">
        <v>17257</v>
      </c>
      <c r="D389" s="3">
        <v>15.17</v>
      </c>
      <c r="G389">
        <f t="shared" si="13"/>
        <v>10</v>
      </c>
      <c r="H389">
        <f t="shared" si="14"/>
        <v>10</v>
      </c>
    </row>
    <row r="390" spans="1:8" x14ac:dyDescent="0.2">
      <c r="A390" s="2">
        <v>17288</v>
      </c>
      <c r="B390" s="3">
        <v>35</v>
      </c>
      <c r="C390" s="2">
        <v>17287</v>
      </c>
      <c r="D390" s="3">
        <v>14.58</v>
      </c>
      <c r="G390">
        <f t="shared" si="13"/>
        <v>10</v>
      </c>
      <c r="H390">
        <f t="shared" si="14"/>
        <v>10</v>
      </c>
    </row>
    <row r="391" spans="1:8" x14ac:dyDescent="0.2">
      <c r="A391" s="2">
        <v>17319</v>
      </c>
      <c r="B391" s="3">
        <v>35</v>
      </c>
      <c r="C391" s="2">
        <v>17316</v>
      </c>
      <c r="D391" s="3">
        <v>14.45</v>
      </c>
      <c r="G391">
        <f t="shared" si="13"/>
        <v>10</v>
      </c>
      <c r="H391">
        <f t="shared" si="14"/>
        <v>10</v>
      </c>
    </row>
    <row r="392" spans="1:8" x14ac:dyDescent="0.2">
      <c r="A392" s="2">
        <v>17349</v>
      </c>
      <c r="B392" s="3">
        <v>35</v>
      </c>
      <c r="C392" s="2">
        <v>17348</v>
      </c>
      <c r="D392" s="3">
        <v>15.21</v>
      </c>
      <c r="G392">
        <f t="shared" si="13"/>
        <v>10</v>
      </c>
      <c r="H392">
        <f t="shared" si="14"/>
        <v>10</v>
      </c>
    </row>
    <row r="393" spans="1:8" x14ac:dyDescent="0.2">
      <c r="A393" s="2">
        <v>17380</v>
      </c>
      <c r="B393" s="3">
        <v>35</v>
      </c>
      <c r="C393" s="2">
        <v>17379</v>
      </c>
      <c r="D393" s="3">
        <v>15.76</v>
      </c>
      <c r="G393">
        <f t="shared" si="13"/>
        <v>10</v>
      </c>
      <c r="H393">
        <f t="shared" si="14"/>
        <v>10</v>
      </c>
    </row>
    <row r="394" spans="1:8" x14ac:dyDescent="0.2">
      <c r="A394" s="2">
        <v>17411</v>
      </c>
      <c r="B394" s="3">
        <v>35</v>
      </c>
      <c r="C394" s="2">
        <v>17408</v>
      </c>
      <c r="D394" s="3">
        <v>15.32</v>
      </c>
      <c r="G394">
        <f t="shared" si="13"/>
        <v>10</v>
      </c>
      <c r="H394">
        <f t="shared" si="14"/>
        <v>10</v>
      </c>
    </row>
    <row r="395" spans="1:8" x14ac:dyDescent="0.2">
      <c r="A395" s="2">
        <v>17441</v>
      </c>
      <c r="B395" s="3">
        <v>35</v>
      </c>
      <c r="C395" s="2">
        <v>17440</v>
      </c>
      <c r="D395" s="3">
        <v>15.11</v>
      </c>
      <c r="G395">
        <f t="shared" si="13"/>
        <v>10</v>
      </c>
      <c r="H395">
        <f t="shared" si="14"/>
        <v>10</v>
      </c>
    </row>
    <row r="396" spans="1:8" x14ac:dyDescent="0.2">
      <c r="A396" s="2">
        <v>17472</v>
      </c>
      <c r="B396" s="3">
        <v>35</v>
      </c>
      <c r="C396" s="2">
        <v>17471</v>
      </c>
      <c r="D396" s="3">
        <v>15.43</v>
      </c>
      <c r="G396">
        <f t="shared" si="13"/>
        <v>10</v>
      </c>
      <c r="H396">
        <f t="shared" si="14"/>
        <v>10</v>
      </c>
    </row>
    <row r="397" spans="1:8" x14ac:dyDescent="0.2">
      <c r="A397" s="2">
        <v>17502</v>
      </c>
      <c r="B397" s="3">
        <v>35</v>
      </c>
      <c r="C397" s="2">
        <v>17500</v>
      </c>
      <c r="D397" s="3">
        <v>14.99</v>
      </c>
      <c r="G397">
        <f t="shared" si="13"/>
        <v>10</v>
      </c>
      <c r="H397">
        <f t="shared" si="14"/>
        <v>10</v>
      </c>
    </row>
    <row r="398" spans="1:8" x14ac:dyDescent="0.2">
      <c r="A398" s="2">
        <v>17533</v>
      </c>
      <c r="B398" s="3">
        <v>35</v>
      </c>
      <c r="C398" s="2">
        <v>17532</v>
      </c>
      <c r="D398" s="3">
        <v>15.3</v>
      </c>
      <c r="G398">
        <f t="shared" si="13"/>
        <v>10</v>
      </c>
      <c r="H398">
        <f t="shared" si="14"/>
        <v>10</v>
      </c>
    </row>
    <row r="399" spans="1:8" x14ac:dyDescent="0.2">
      <c r="A399" s="2">
        <v>17564</v>
      </c>
      <c r="B399" s="3">
        <v>35</v>
      </c>
      <c r="C399" s="2">
        <v>17563</v>
      </c>
      <c r="D399" s="3">
        <v>14.69</v>
      </c>
      <c r="G399">
        <f t="shared" si="13"/>
        <v>10</v>
      </c>
      <c r="H399">
        <f t="shared" si="14"/>
        <v>10</v>
      </c>
    </row>
    <row r="400" spans="1:8" x14ac:dyDescent="0.2">
      <c r="A400" s="2">
        <v>17593</v>
      </c>
      <c r="B400" s="3">
        <v>35</v>
      </c>
      <c r="C400" s="2">
        <v>17591</v>
      </c>
      <c r="D400" s="3">
        <v>14</v>
      </c>
      <c r="G400">
        <f t="shared" si="13"/>
        <v>10</v>
      </c>
      <c r="H400">
        <f t="shared" si="14"/>
        <v>10</v>
      </c>
    </row>
    <row r="401" spans="1:8" x14ac:dyDescent="0.2">
      <c r="A401" s="2">
        <v>17624</v>
      </c>
      <c r="B401" s="3">
        <v>35</v>
      </c>
      <c r="C401" s="2">
        <v>17623</v>
      </c>
      <c r="D401" s="3">
        <v>15.08</v>
      </c>
      <c r="G401">
        <f t="shared" si="13"/>
        <v>10</v>
      </c>
      <c r="H401">
        <f t="shared" si="14"/>
        <v>10</v>
      </c>
    </row>
    <row r="402" spans="1:8" x14ac:dyDescent="0.2">
      <c r="A402" s="2">
        <v>17654</v>
      </c>
      <c r="B402" s="3">
        <v>35</v>
      </c>
      <c r="C402" s="2">
        <v>17653</v>
      </c>
      <c r="D402" s="3">
        <v>15.48</v>
      </c>
      <c r="G402">
        <f t="shared" si="13"/>
        <v>10</v>
      </c>
      <c r="H402">
        <f t="shared" si="14"/>
        <v>10</v>
      </c>
    </row>
    <row r="403" spans="1:8" x14ac:dyDescent="0.2">
      <c r="A403" s="2">
        <v>17685</v>
      </c>
      <c r="B403" s="3">
        <v>35</v>
      </c>
      <c r="C403" s="2">
        <v>17681</v>
      </c>
      <c r="D403" s="3">
        <v>16.690000000000001</v>
      </c>
      <c r="G403">
        <f t="shared" si="13"/>
        <v>10</v>
      </c>
      <c r="H403">
        <f t="shared" si="14"/>
        <v>10</v>
      </c>
    </row>
    <row r="404" spans="1:8" x14ac:dyDescent="0.2">
      <c r="A404" s="2">
        <v>17715</v>
      </c>
      <c r="B404" s="3">
        <v>35</v>
      </c>
      <c r="C404" s="2">
        <v>17714</v>
      </c>
      <c r="D404" s="3">
        <v>16.739999999999998</v>
      </c>
      <c r="G404">
        <f t="shared" si="13"/>
        <v>10</v>
      </c>
      <c r="H404">
        <f t="shared" si="14"/>
        <v>10</v>
      </c>
    </row>
    <row r="405" spans="1:8" x14ac:dyDescent="0.2">
      <c r="A405" s="2">
        <v>17746</v>
      </c>
      <c r="B405" s="3">
        <v>35</v>
      </c>
      <c r="C405" s="2">
        <v>17744</v>
      </c>
      <c r="D405" s="3">
        <v>15.85</v>
      </c>
      <c r="G405">
        <f t="shared" si="13"/>
        <v>10</v>
      </c>
      <c r="H405">
        <f t="shared" si="14"/>
        <v>10</v>
      </c>
    </row>
    <row r="406" spans="1:8" x14ac:dyDescent="0.2">
      <c r="A406" s="2">
        <v>17777</v>
      </c>
      <c r="B406" s="3">
        <v>35</v>
      </c>
      <c r="C406" s="2">
        <v>17776</v>
      </c>
      <c r="D406" s="3">
        <v>15.97</v>
      </c>
      <c r="G406">
        <f t="shared" si="13"/>
        <v>10</v>
      </c>
      <c r="H406">
        <f t="shared" si="14"/>
        <v>10</v>
      </c>
    </row>
    <row r="407" spans="1:8" x14ac:dyDescent="0.2">
      <c r="A407" s="2">
        <v>17807</v>
      </c>
      <c r="B407" s="3">
        <v>35</v>
      </c>
      <c r="C407" s="2">
        <v>17806</v>
      </c>
      <c r="D407" s="3">
        <v>15.49</v>
      </c>
      <c r="G407">
        <f t="shared" si="13"/>
        <v>10</v>
      </c>
      <c r="H407">
        <f t="shared" si="14"/>
        <v>10</v>
      </c>
    </row>
    <row r="408" spans="1:8" x14ac:dyDescent="0.2">
      <c r="A408" s="2">
        <v>17838</v>
      </c>
      <c r="B408" s="3">
        <v>35</v>
      </c>
      <c r="C408" s="2">
        <v>17836</v>
      </c>
      <c r="D408" s="3">
        <v>16.54</v>
      </c>
      <c r="G408">
        <f t="shared" si="13"/>
        <v>10</v>
      </c>
      <c r="H408">
        <f t="shared" si="14"/>
        <v>10</v>
      </c>
    </row>
    <row r="409" spans="1:8" x14ac:dyDescent="0.2">
      <c r="A409" s="2">
        <v>17868</v>
      </c>
      <c r="B409" s="3">
        <v>35</v>
      </c>
      <c r="C409" s="2">
        <v>17867</v>
      </c>
      <c r="D409" s="3">
        <v>14.75</v>
      </c>
      <c r="G409">
        <f t="shared" si="13"/>
        <v>10</v>
      </c>
      <c r="H409">
        <f t="shared" si="14"/>
        <v>10</v>
      </c>
    </row>
    <row r="410" spans="1:8" x14ac:dyDescent="0.2">
      <c r="A410" s="2">
        <v>17899</v>
      </c>
      <c r="B410" s="3">
        <v>31.88</v>
      </c>
      <c r="C410" s="2">
        <v>17898</v>
      </c>
      <c r="D410" s="3">
        <v>15.2</v>
      </c>
      <c r="G410">
        <f t="shared" si="13"/>
        <v>10</v>
      </c>
      <c r="H410">
        <f t="shared" si="14"/>
        <v>10</v>
      </c>
    </row>
    <row r="411" spans="1:8" x14ac:dyDescent="0.2">
      <c r="A411" s="2">
        <v>17930</v>
      </c>
      <c r="B411" s="3">
        <v>31.88</v>
      </c>
      <c r="C411" s="2">
        <v>17929</v>
      </c>
      <c r="D411" s="3">
        <v>15.22</v>
      </c>
      <c r="G411">
        <f t="shared" si="13"/>
        <v>10</v>
      </c>
      <c r="H411">
        <f t="shared" si="14"/>
        <v>10</v>
      </c>
    </row>
    <row r="412" spans="1:8" x14ac:dyDescent="0.2">
      <c r="A412" s="2">
        <v>17958</v>
      </c>
      <c r="B412" s="3">
        <v>31.88</v>
      </c>
      <c r="C412" s="2">
        <v>17957</v>
      </c>
      <c r="D412" s="3">
        <v>14.62</v>
      </c>
      <c r="G412">
        <f t="shared" si="13"/>
        <v>10</v>
      </c>
      <c r="H412">
        <f t="shared" si="14"/>
        <v>10</v>
      </c>
    </row>
    <row r="413" spans="1:8" x14ac:dyDescent="0.2">
      <c r="A413" s="2">
        <v>17989</v>
      </c>
      <c r="B413" s="3">
        <v>31.88</v>
      </c>
      <c r="C413" s="2">
        <v>17988</v>
      </c>
      <c r="D413" s="3">
        <v>15.06</v>
      </c>
      <c r="G413">
        <f t="shared" si="13"/>
        <v>10</v>
      </c>
      <c r="H413">
        <f t="shared" si="14"/>
        <v>10</v>
      </c>
    </row>
    <row r="414" spans="1:8" x14ac:dyDescent="0.2">
      <c r="A414" s="2">
        <v>18019</v>
      </c>
      <c r="B414" s="3">
        <v>31.88</v>
      </c>
      <c r="C414" s="2">
        <v>18018</v>
      </c>
      <c r="D414" s="3">
        <v>14.74</v>
      </c>
      <c r="G414">
        <f t="shared" si="13"/>
        <v>10</v>
      </c>
      <c r="H414">
        <f t="shared" si="14"/>
        <v>10</v>
      </c>
    </row>
    <row r="415" spans="1:8" x14ac:dyDescent="0.2">
      <c r="A415" s="2">
        <v>18050</v>
      </c>
      <c r="B415" s="3">
        <v>31.88</v>
      </c>
      <c r="C415" s="2">
        <v>18049</v>
      </c>
      <c r="D415" s="3">
        <v>14.19</v>
      </c>
      <c r="G415">
        <f t="shared" si="13"/>
        <v>10</v>
      </c>
      <c r="H415">
        <f t="shared" si="14"/>
        <v>10</v>
      </c>
    </row>
    <row r="416" spans="1:8" x14ac:dyDescent="0.2">
      <c r="A416" s="2">
        <v>18080</v>
      </c>
      <c r="B416" s="3">
        <v>31.88</v>
      </c>
      <c r="C416" s="2">
        <v>18079</v>
      </c>
      <c r="D416" s="3">
        <v>14.16</v>
      </c>
      <c r="G416">
        <f t="shared" si="13"/>
        <v>10</v>
      </c>
      <c r="H416">
        <f t="shared" si="14"/>
        <v>10</v>
      </c>
    </row>
    <row r="417" spans="1:8" x14ac:dyDescent="0.2">
      <c r="A417" s="2">
        <v>18111</v>
      </c>
      <c r="B417" s="3">
        <v>31.88</v>
      </c>
      <c r="C417" s="2">
        <v>18108</v>
      </c>
      <c r="D417" s="3">
        <v>15.04</v>
      </c>
      <c r="G417">
        <f t="shared" si="13"/>
        <v>10</v>
      </c>
      <c r="H417">
        <f t="shared" si="14"/>
        <v>10</v>
      </c>
    </row>
    <row r="418" spans="1:8" x14ac:dyDescent="0.2">
      <c r="A418" s="2">
        <v>18142</v>
      </c>
      <c r="B418" s="3">
        <v>31.88</v>
      </c>
      <c r="C418" s="2">
        <v>18141</v>
      </c>
      <c r="D418" s="3">
        <v>15.22</v>
      </c>
      <c r="G418">
        <f t="shared" si="13"/>
        <v>10</v>
      </c>
      <c r="H418">
        <f t="shared" si="14"/>
        <v>10</v>
      </c>
    </row>
    <row r="419" spans="1:8" x14ac:dyDescent="0.2">
      <c r="A419" s="2">
        <v>18172</v>
      </c>
      <c r="B419" s="3">
        <v>31.88</v>
      </c>
      <c r="C419" s="2">
        <v>18171</v>
      </c>
      <c r="D419" s="3">
        <v>15.58</v>
      </c>
      <c r="G419">
        <f t="shared" si="13"/>
        <v>10</v>
      </c>
      <c r="H419">
        <f t="shared" si="14"/>
        <v>10</v>
      </c>
    </row>
    <row r="420" spans="1:8" x14ac:dyDescent="0.2">
      <c r="A420" s="2">
        <v>18203</v>
      </c>
      <c r="B420" s="3">
        <v>31.88</v>
      </c>
      <c r="C420" s="2">
        <v>18202</v>
      </c>
      <c r="D420" s="3">
        <v>16.04</v>
      </c>
      <c r="G420">
        <f t="shared" si="13"/>
        <v>10</v>
      </c>
      <c r="H420">
        <f t="shared" si="14"/>
        <v>10</v>
      </c>
    </row>
    <row r="421" spans="1:8" x14ac:dyDescent="0.2">
      <c r="A421" s="2">
        <v>18233</v>
      </c>
      <c r="B421" s="3">
        <v>31.88</v>
      </c>
      <c r="C421" s="2">
        <v>18232</v>
      </c>
      <c r="D421" s="3">
        <v>16.059999999999999</v>
      </c>
      <c r="G421">
        <f t="shared" si="13"/>
        <v>10</v>
      </c>
      <c r="H421">
        <f t="shared" si="14"/>
        <v>10</v>
      </c>
    </row>
    <row r="422" spans="1:8" x14ac:dyDescent="0.2">
      <c r="A422" s="2">
        <v>18264</v>
      </c>
      <c r="B422" s="3">
        <v>35</v>
      </c>
      <c r="C422" s="2">
        <v>18263</v>
      </c>
      <c r="D422" s="3">
        <v>16.760000000000002</v>
      </c>
      <c r="G422">
        <f t="shared" si="13"/>
        <v>10</v>
      </c>
      <c r="H422">
        <f t="shared" si="14"/>
        <v>10</v>
      </c>
    </row>
    <row r="423" spans="1:8" x14ac:dyDescent="0.2">
      <c r="A423" s="2">
        <v>18295</v>
      </c>
      <c r="B423" s="3">
        <v>35</v>
      </c>
      <c r="C423" s="2">
        <v>18294</v>
      </c>
      <c r="D423" s="3">
        <v>17.05</v>
      </c>
      <c r="G423">
        <f t="shared" si="13"/>
        <v>10</v>
      </c>
      <c r="H423">
        <f t="shared" si="14"/>
        <v>10</v>
      </c>
    </row>
    <row r="424" spans="1:8" x14ac:dyDescent="0.2">
      <c r="A424" s="2">
        <v>18323</v>
      </c>
      <c r="B424" s="3">
        <v>35</v>
      </c>
      <c r="C424" s="2">
        <v>18322</v>
      </c>
      <c r="D424" s="3">
        <v>17.22</v>
      </c>
      <c r="G424">
        <f t="shared" si="13"/>
        <v>10</v>
      </c>
      <c r="H424">
        <f t="shared" si="14"/>
        <v>10</v>
      </c>
    </row>
    <row r="425" spans="1:8" x14ac:dyDescent="0.2">
      <c r="A425" s="2">
        <v>18354</v>
      </c>
      <c r="B425" s="3">
        <v>35</v>
      </c>
      <c r="C425" s="2">
        <v>18353</v>
      </c>
      <c r="D425" s="3">
        <v>17.29</v>
      </c>
      <c r="G425">
        <f t="shared" si="13"/>
        <v>10</v>
      </c>
      <c r="H425">
        <f t="shared" si="14"/>
        <v>10</v>
      </c>
    </row>
    <row r="426" spans="1:8" x14ac:dyDescent="0.2">
      <c r="A426" s="2">
        <v>18384</v>
      </c>
      <c r="B426" s="3">
        <v>35</v>
      </c>
      <c r="C426" s="2">
        <v>18382</v>
      </c>
      <c r="D426" s="3">
        <v>18.07</v>
      </c>
      <c r="G426">
        <f t="shared" si="13"/>
        <v>10</v>
      </c>
      <c r="H426">
        <f t="shared" si="14"/>
        <v>10</v>
      </c>
    </row>
    <row r="427" spans="1:8" x14ac:dyDescent="0.2">
      <c r="A427" s="2">
        <v>18415</v>
      </c>
      <c r="B427" s="3">
        <v>35</v>
      </c>
      <c r="C427" s="2">
        <v>18414</v>
      </c>
      <c r="D427" s="3">
        <v>18.78</v>
      </c>
      <c r="G427">
        <f t="shared" si="13"/>
        <v>10</v>
      </c>
      <c r="H427">
        <f t="shared" si="14"/>
        <v>10</v>
      </c>
    </row>
    <row r="428" spans="1:8" x14ac:dyDescent="0.2">
      <c r="A428" s="2">
        <v>18445</v>
      </c>
      <c r="B428" s="3">
        <v>35</v>
      </c>
      <c r="C428" s="2">
        <v>18444</v>
      </c>
      <c r="D428" s="3">
        <v>17.690000000000001</v>
      </c>
      <c r="G428">
        <f t="shared" si="13"/>
        <v>10</v>
      </c>
      <c r="H428">
        <f t="shared" si="14"/>
        <v>10</v>
      </c>
    </row>
    <row r="429" spans="1:8" x14ac:dyDescent="0.2">
      <c r="A429" s="2">
        <v>18476</v>
      </c>
      <c r="B429" s="3">
        <v>35</v>
      </c>
      <c r="C429" s="2">
        <v>18475</v>
      </c>
      <c r="D429" s="3">
        <v>17.84</v>
      </c>
      <c r="G429">
        <f t="shared" si="13"/>
        <v>10</v>
      </c>
      <c r="H429">
        <f t="shared" si="14"/>
        <v>10</v>
      </c>
    </row>
    <row r="430" spans="1:8" x14ac:dyDescent="0.2">
      <c r="A430" s="2">
        <v>18507</v>
      </c>
      <c r="B430" s="3">
        <v>35</v>
      </c>
      <c r="C430" s="2">
        <v>18506</v>
      </c>
      <c r="D430" s="3">
        <v>18.420000000000002</v>
      </c>
      <c r="G430">
        <f t="shared" si="13"/>
        <v>10</v>
      </c>
      <c r="H430">
        <f t="shared" si="14"/>
        <v>10</v>
      </c>
    </row>
    <row r="431" spans="1:8" x14ac:dyDescent="0.2">
      <c r="A431" s="2">
        <v>18537</v>
      </c>
      <c r="B431" s="3">
        <v>35</v>
      </c>
      <c r="C431" s="2">
        <v>18535</v>
      </c>
      <c r="D431" s="3">
        <v>19.45</v>
      </c>
      <c r="G431">
        <f t="shared" si="13"/>
        <v>10</v>
      </c>
      <c r="H431">
        <f t="shared" si="14"/>
        <v>10</v>
      </c>
    </row>
    <row r="432" spans="1:8" x14ac:dyDescent="0.2">
      <c r="A432" s="2">
        <v>18568</v>
      </c>
      <c r="B432" s="3">
        <v>35</v>
      </c>
      <c r="C432" s="2">
        <v>18567</v>
      </c>
      <c r="D432" s="3">
        <v>19.53</v>
      </c>
      <c r="G432">
        <f t="shared" si="13"/>
        <v>10</v>
      </c>
      <c r="H432">
        <f t="shared" si="14"/>
        <v>10</v>
      </c>
    </row>
    <row r="433" spans="1:8" x14ac:dyDescent="0.2">
      <c r="A433" s="2">
        <v>18598</v>
      </c>
      <c r="B433" s="3">
        <v>35</v>
      </c>
      <c r="C433" s="2">
        <v>18597</v>
      </c>
      <c r="D433" s="3">
        <v>19.510000000000002</v>
      </c>
      <c r="G433">
        <f t="shared" si="13"/>
        <v>10</v>
      </c>
      <c r="H433">
        <f t="shared" si="14"/>
        <v>10</v>
      </c>
    </row>
    <row r="434" spans="1:8" x14ac:dyDescent="0.2">
      <c r="A434" s="2">
        <v>18629</v>
      </c>
      <c r="B434" s="3">
        <v>35</v>
      </c>
      <c r="C434" s="2">
        <v>18627</v>
      </c>
      <c r="D434" s="3">
        <v>20.41</v>
      </c>
      <c r="G434">
        <f t="shared" si="13"/>
        <v>10</v>
      </c>
      <c r="H434">
        <f t="shared" si="14"/>
        <v>10</v>
      </c>
    </row>
    <row r="435" spans="1:8" x14ac:dyDescent="0.2">
      <c r="A435" s="2">
        <v>18660</v>
      </c>
      <c r="B435" s="3">
        <v>35</v>
      </c>
      <c r="C435" s="2">
        <v>18659</v>
      </c>
      <c r="D435" s="3">
        <v>21.66</v>
      </c>
      <c r="G435">
        <f t="shared" si="13"/>
        <v>10</v>
      </c>
      <c r="H435">
        <f t="shared" si="14"/>
        <v>10</v>
      </c>
    </row>
    <row r="436" spans="1:8" x14ac:dyDescent="0.2">
      <c r="A436" s="2">
        <v>18688</v>
      </c>
      <c r="B436" s="3">
        <v>35</v>
      </c>
      <c r="C436" s="2">
        <v>18687</v>
      </c>
      <c r="D436" s="3">
        <v>21.8</v>
      </c>
      <c r="G436">
        <f t="shared" si="13"/>
        <v>10</v>
      </c>
      <c r="H436">
        <f t="shared" si="14"/>
        <v>10</v>
      </c>
    </row>
    <row r="437" spans="1:8" x14ac:dyDescent="0.2">
      <c r="A437" s="2">
        <v>18719</v>
      </c>
      <c r="B437" s="3">
        <v>35</v>
      </c>
      <c r="C437" s="2">
        <v>18718</v>
      </c>
      <c r="D437" s="3">
        <v>21.4</v>
      </c>
      <c r="G437">
        <f t="shared" si="13"/>
        <v>10</v>
      </c>
      <c r="H437">
        <f t="shared" si="14"/>
        <v>10</v>
      </c>
    </row>
    <row r="438" spans="1:8" x14ac:dyDescent="0.2">
      <c r="A438" s="2">
        <v>18749</v>
      </c>
      <c r="B438" s="3">
        <v>35</v>
      </c>
      <c r="C438" s="2">
        <v>18748</v>
      </c>
      <c r="D438" s="3">
        <v>22.43</v>
      </c>
      <c r="G438">
        <f t="shared" si="13"/>
        <v>10</v>
      </c>
      <c r="H438">
        <f t="shared" si="14"/>
        <v>10</v>
      </c>
    </row>
    <row r="439" spans="1:8" x14ac:dyDescent="0.2">
      <c r="A439" s="2">
        <v>18780</v>
      </c>
      <c r="B439" s="3">
        <v>35</v>
      </c>
      <c r="C439" s="2">
        <v>18779</v>
      </c>
      <c r="D439" s="3">
        <v>21.52</v>
      </c>
      <c r="G439">
        <f t="shared" si="13"/>
        <v>10</v>
      </c>
      <c r="H439">
        <f t="shared" si="14"/>
        <v>10</v>
      </c>
    </row>
    <row r="440" spans="1:8" x14ac:dyDescent="0.2">
      <c r="A440" s="2">
        <v>18810</v>
      </c>
      <c r="B440" s="3">
        <v>35</v>
      </c>
      <c r="C440" s="2">
        <v>18808</v>
      </c>
      <c r="D440" s="3">
        <v>20.96</v>
      </c>
      <c r="G440">
        <f t="shared" si="13"/>
        <v>10</v>
      </c>
      <c r="H440">
        <f t="shared" si="14"/>
        <v>10</v>
      </c>
    </row>
    <row r="441" spans="1:8" x14ac:dyDescent="0.2">
      <c r="A441" s="2">
        <v>18841</v>
      </c>
      <c r="B441" s="3">
        <v>35</v>
      </c>
      <c r="C441" s="2">
        <v>18840</v>
      </c>
      <c r="D441" s="3">
        <v>22.4</v>
      </c>
      <c r="G441">
        <f t="shared" si="13"/>
        <v>10</v>
      </c>
      <c r="H441">
        <f t="shared" si="14"/>
        <v>10</v>
      </c>
    </row>
    <row r="442" spans="1:8" x14ac:dyDescent="0.2">
      <c r="A442" s="2">
        <v>18872</v>
      </c>
      <c r="B442" s="3">
        <v>35</v>
      </c>
      <c r="C442" s="2">
        <v>18871</v>
      </c>
      <c r="D442" s="3">
        <v>23.28</v>
      </c>
      <c r="G442">
        <f t="shared" si="13"/>
        <v>10</v>
      </c>
      <c r="H442">
        <f t="shared" si="14"/>
        <v>10</v>
      </c>
    </row>
    <row r="443" spans="1:8" x14ac:dyDescent="0.2">
      <c r="A443" s="2">
        <v>18902</v>
      </c>
      <c r="B443" s="3">
        <v>35</v>
      </c>
      <c r="C443" s="2">
        <v>18899</v>
      </c>
      <c r="D443" s="3">
        <v>23.26</v>
      </c>
      <c r="G443">
        <f t="shared" si="13"/>
        <v>10</v>
      </c>
      <c r="H443">
        <f t="shared" si="14"/>
        <v>10</v>
      </c>
    </row>
    <row r="444" spans="1:8" x14ac:dyDescent="0.2">
      <c r="A444" s="2">
        <v>18933</v>
      </c>
      <c r="B444" s="3">
        <v>35</v>
      </c>
      <c r="C444" s="2">
        <v>18932</v>
      </c>
      <c r="D444" s="3">
        <v>22.94</v>
      </c>
      <c r="G444">
        <f t="shared" si="13"/>
        <v>10</v>
      </c>
      <c r="H444">
        <f t="shared" si="14"/>
        <v>10</v>
      </c>
    </row>
    <row r="445" spans="1:8" x14ac:dyDescent="0.2">
      <c r="A445" s="2">
        <v>18963</v>
      </c>
      <c r="B445" s="3">
        <v>35</v>
      </c>
      <c r="C445" s="2">
        <v>18962</v>
      </c>
      <c r="D445" s="3">
        <v>22.88</v>
      </c>
      <c r="G445">
        <f t="shared" si="13"/>
        <v>10</v>
      </c>
      <c r="H445">
        <f t="shared" si="14"/>
        <v>10</v>
      </c>
    </row>
    <row r="446" spans="1:8" x14ac:dyDescent="0.2">
      <c r="A446" s="2">
        <v>18994</v>
      </c>
      <c r="B446" s="3">
        <v>34.69</v>
      </c>
      <c r="C446" s="2">
        <v>18993</v>
      </c>
      <c r="D446" s="3">
        <v>23.77</v>
      </c>
      <c r="G446">
        <f t="shared" si="13"/>
        <v>10</v>
      </c>
      <c r="H446">
        <f t="shared" si="14"/>
        <v>10</v>
      </c>
    </row>
    <row r="447" spans="1:8" x14ac:dyDescent="0.2">
      <c r="A447" s="2">
        <v>19025</v>
      </c>
      <c r="B447" s="3">
        <v>34.69</v>
      </c>
      <c r="C447" s="2">
        <v>19024</v>
      </c>
      <c r="D447" s="3">
        <v>24.14</v>
      </c>
      <c r="G447">
        <f t="shared" si="13"/>
        <v>10</v>
      </c>
      <c r="H447">
        <f t="shared" si="14"/>
        <v>10</v>
      </c>
    </row>
    <row r="448" spans="1:8" x14ac:dyDescent="0.2">
      <c r="A448" s="2">
        <v>19054</v>
      </c>
      <c r="B448" s="3">
        <v>34.69</v>
      </c>
      <c r="C448" s="2">
        <v>19053</v>
      </c>
      <c r="D448" s="3">
        <v>23.26</v>
      </c>
      <c r="G448">
        <f t="shared" si="13"/>
        <v>10</v>
      </c>
      <c r="H448">
        <f t="shared" si="14"/>
        <v>10</v>
      </c>
    </row>
    <row r="449" spans="1:8" x14ac:dyDescent="0.2">
      <c r="A449" s="2">
        <v>19085</v>
      </c>
      <c r="B449" s="3">
        <v>34.69</v>
      </c>
      <c r="C449" s="2">
        <v>19084</v>
      </c>
      <c r="D449" s="3">
        <v>24.37</v>
      </c>
      <c r="G449">
        <f t="shared" si="13"/>
        <v>10</v>
      </c>
      <c r="H449">
        <f t="shared" si="14"/>
        <v>10</v>
      </c>
    </row>
    <row r="450" spans="1:8" x14ac:dyDescent="0.2">
      <c r="A450" s="2">
        <v>19115</v>
      </c>
      <c r="B450" s="3">
        <v>34.69</v>
      </c>
      <c r="C450" s="2">
        <v>19114</v>
      </c>
      <c r="D450" s="3">
        <v>23.32</v>
      </c>
      <c r="G450">
        <f t="shared" si="13"/>
        <v>10</v>
      </c>
      <c r="H450">
        <f t="shared" si="14"/>
        <v>10</v>
      </c>
    </row>
    <row r="451" spans="1:8" x14ac:dyDescent="0.2">
      <c r="A451" s="2">
        <v>19146</v>
      </c>
      <c r="B451" s="3">
        <v>34.69</v>
      </c>
      <c r="C451" s="2">
        <v>19143</v>
      </c>
      <c r="D451" s="3">
        <v>23.86</v>
      </c>
      <c r="G451">
        <f t="shared" ref="G451:G514" si="15">IF(AND(A451&gt;=DATE(1973,1,1), A451&lt;=DATE(1982,12,31)), 10000, 10)</f>
        <v>10</v>
      </c>
      <c r="H451">
        <f t="shared" ref="H451:H514" si="16">IF(AND(A451&gt;=DATE(1983,1,1), A451&lt;=DATE(2007,12,31)), 10000, 10)</f>
        <v>10</v>
      </c>
    </row>
    <row r="452" spans="1:8" x14ac:dyDescent="0.2">
      <c r="A452" s="2">
        <v>19176</v>
      </c>
      <c r="B452" s="3">
        <v>34.69</v>
      </c>
      <c r="C452" s="2">
        <v>19175</v>
      </c>
      <c r="D452" s="3">
        <v>24.96</v>
      </c>
      <c r="G452">
        <f t="shared" si="15"/>
        <v>10</v>
      </c>
      <c r="H452">
        <f t="shared" si="16"/>
        <v>10</v>
      </c>
    </row>
    <row r="453" spans="1:8" x14ac:dyDescent="0.2">
      <c r="A453" s="2">
        <v>19207</v>
      </c>
      <c r="B453" s="3">
        <v>34.69</v>
      </c>
      <c r="C453" s="2">
        <v>19206</v>
      </c>
      <c r="D453" s="3">
        <v>25.4</v>
      </c>
      <c r="G453">
        <f t="shared" si="15"/>
        <v>10</v>
      </c>
      <c r="H453">
        <f t="shared" si="16"/>
        <v>10</v>
      </c>
    </row>
    <row r="454" spans="1:8" x14ac:dyDescent="0.2">
      <c r="A454" s="2">
        <v>19238</v>
      </c>
      <c r="B454" s="3">
        <v>34.69</v>
      </c>
      <c r="C454" s="2">
        <v>19235</v>
      </c>
      <c r="D454" s="3">
        <v>25.03</v>
      </c>
      <c r="G454">
        <f t="shared" si="15"/>
        <v>10</v>
      </c>
      <c r="H454">
        <f t="shared" si="16"/>
        <v>10</v>
      </c>
    </row>
    <row r="455" spans="1:8" x14ac:dyDescent="0.2">
      <c r="A455" s="2">
        <v>19268</v>
      </c>
      <c r="B455" s="3">
        <v>34.69</v>
      </c>
      <c r="C455" s="2">
        <v>19267</v>
      </c>
      <c r="D455" s="3">
        <v>24.54</v>
      </c>
      <c r="G455">
        <f t="shared" si="15"/>
        <v>10</v>
      </c>
      <c r="H455">
        <f t="shared" si="16"/>
        <v>10</v>
      </c>
    </row>
    <row r="456" spans="1:8" x14ac:dyDescent="0.2">
      <c r="A456" s="2">
        <v>19299</v>
      </c>
      <c r="B456" s="3">
        <v>34.69</v>
      </c>
      <c r="C456" s="2">
        <v>19298</v>
      </c>
      <c r="D456" s="3">
        <v>24.52</v>
      </c>
      <c r="G456">
        <f t="shared" si="15"/>
        <v>10</v>
      </c>
      <c r="H456">
        <f t="shared" si="16"/>
        <v>10</v>
      </c>
    </row>
    <row r="457" spans="1:8" x14ac:dyDescent="0.2">
      <c r="A457" s="2">
        <v>19329</v>
      </c>
      <c r="B457" s="3">
        <v>34.69</v>
      </c>
      <c r="C457" s="2">
        <v>19326</v>
      </c>
      <c r="D457" s="3">
        <v>25.66</v>
      </c>
      <c r="G457">
        <f t="shared" si="15"/>
        <v>10</v>
      </c>
      <c r="H457">
        <f t="shared" si="16"/>
        <v>10</v>
      </c>
    </row>
    <row r="458" spans="1:8" x14ac:dyDescent="0.2">
      <c r="A458" s="2">
        <v>19360</v>
      </c>
      <c r="B458" s="3">
        <v>35</v>
      </c>
      <c r="C458" s="2">
        <v>19359</v>
      </c>
      <c r="D458" s="3">
        <v>26.57</v>
      </c>
      <c r="G458">
        <f t="shared" si="15"/>
        <v>10</v>
      </c>
      <c r="H458">
        <f t="shared" si="16"/>
        <v>10</v>
      </c>
    </row>
    <row r="459" spans="1:8" x14ac:dyDescent="0.2">
      <c r="A459" s="2">
        <v>19391</v>
      </c>
      <c r="B459" s="3">
        <v>35</v>
      </c>
      <c r="C459" s="2">
        <v>19389</v>
      </c>
      <c r="D459" s="3">
        <v>26.38</v>
      </c>
      <c r="G459">
        <f t="shared" si="15"/>
        <v>10</v>
      </c>
      <c r="H459">
        <f t="shared" si="16"/>
        <v>10</v>
      </c>
    </row>
    <row r="460" spans="1:8" x14ac:dyDescent="0.2">
      <c r="A460" s="2">
        <v>19419</v>
      </c>
      <c r="B460" s="3">
        <v>35</v>
      </c>
      <c r="C460" s="2">
        <v>19417</v>
      </c>
      <c r="D460" s="3">
        <v>25.9</v>
      </c>
      <c r="G460">
        <f t="shared" si="15"/>
        <v>10</v>
      </c>
      <c r="H460">
        <f t="shared" si="16"/>
        <v>10</v>
      </c>
    </row>
    <row r="461" spans="1:8" x14ac:dyDescent="0.2">
      <c r="A461" s="2">
        <v>19450</v>
      </c>
      <c r="B461" s="3">
        <v>35</v>
      </c>
      <c r="C461" s="2">
        <v>19449</v>
      </c>
      <c r="D461" s="3">
        <v>25.29</v>
      </c>
      <c r="G461">
        <f t="shared" si="15"/>
        <v>10</v>
      </c>
      <c r="H461">
        <f t="shared" si="16"/>
        <v>10</v>
      </c>
    </row>
    <row r="462" spans="1:8" x14ac:dyDescent="0.2">
      <c r="A462" s="2">
        <v>19480</v>
      </c>
      <c r="B462" s="3">
        <v>35</v>
      </c>
      <c r="C462" s="2">
        <v>19479</v>
      </c>
      <c r="D462" s="3">
        <v>24.62</v>
      </c>
      <c r="G462">
        <f t="shared" si="15"/>
        <v>10</v>
      </c>
      <c r="H462">
        <f t="shared" si="16"/>
        <v>10</v>
      </c>
    </row>
    <row r="463" spans="1:8" x14ac:dyDescent="0.2">
      <c r="A463" s="2">
        <v>19511</v>
      </c>
      <c r="B463" s="3">
        <v>35</v>
      </c>
      <c r="C463" s="2">
        <v>19508</v>
      </c>
      <c r="D463" s="3">
        <v>24.54</v>
      </c>
      <c r="G463">
        <f t="shared" si="15"/>
        <v>10</v>
      </c>
      <c r="H463">
        <f t="shared" si="16"/>
        <v>10</v>
      </c>
    </row>
    <row r="464" spans="1:8" x14ac:dyDescent="0.2">
      <c r="A464" s="2">
        <v>19541</v>
      </c>
      <c r="B464" s="3">
        <v>35</v>
      </c>
      <c r="C464" s="2">
        <v>19540</v>
      </c>
      <c r="D464" s="3">
        <v>24.14</v>
      </c>
      <c r="G464">
        <f t="shared" si="15"/>
        <v>10</v>
      </c>
      <c r="H464">
        <f t="shared" si="16"/>
        <v>10</v>
      </c>
    </row>
    <row r="465" spans="1:8" x14ac:dyDescent="0.2">
      <c r="A465" s="2">
        <v>19572</v>
      </c>
      <c r="B465" s="3">
        <v>35</v>
      </c>
      <c r="C465" s="2">
        <v>19571</v>
      </c>
      <c r="D465" s="3">
        <v>24.75</v>
      </c>
      <c r="G465">
        <f t="shared" si="15"/>
        <v>10</v>
      </c>
      <c r="H465">
        <f t="shared" si="16"/>
        <v>10</v>
      </c>
    </row>
    <row r="466" spans="1:8" x14ac:dyDescent="0.2">
      <c r="A466" s="2">
        <v>19603</v>
      </c>
      <c r="B466" s="3">
        <v>35</v>
      </c>
      <c r="C466" s="2">
        <v>19602</v>
      </c>
      <c r="D466" s="3">
        <v>23.32</v>
      </c>
      <c r="G466">
        <f t="shared" si="15"/>
        <v>10</v>
      </c>
      <c r="H466">
        <f t="shared" si="16"/>
        <v>10</v>
      </c>
    </row>
    <row r="467" spans="1:8" x14ac:dyDescent="0.2">
      <c r="A467" s="2">
        <v>19633</v>
      </c>
      <c r="B467" s="3">
        <v>35</v>
      </c>
      <c r="C467" s="2">
        <v>19632</v>
      </c>
      <c r="D467" s="3">
        <v>23.35</v>
      </c>
      <c r="G467">
        <f t="shared" si="15"/>
        <v>10</v>
      </c>
      <c r="H467">
        <f t="shared" si="16"/>
        <v>10</v>
      </c>
    </row>
    <row r="468" spans="1:8" x14ac:dyDescent="0.2">
      <c r="A468" s="2">
        <v>19664</v>
      </c>
      <c r="B468" s="3">
        <v>35</v>
      </c>
      <c r="C468" s="2">
        <v>19662</v>
      </c>
      <c r="D468" s="3">
        <v>24.54</v>
      </c>
      <c r="G468">
        <f t="shared" si="15"/>
        <v>10</v>
      </c>
      <c r="H468">
        <f t="shared" si="16"/>
        <v>10</v>
      </c>
    </row>
    <row r="469" spans="1:8" x14ac:dyDescent="0.2">
      <c r="A469" s="2">
        <v>19694</v>
      </c>
      <c r="B469" s="3">
        <v>35</v>
      </c>
      <c r="C469" s="2">
        <v>19693</v>
      </c>
      <c r="D469" s="3">
        <v>24.76</v>
      </c>
      <c r="G469">
        <f t="shared" si="15"/>
        <v>10</v>
      </c>
      <c r="H469">
        <f t="shared" si="16"/>
        <v>10</v>
      </c>
    </row>
    <row r="470" spans="1:8" x14ac:dyDescent="0.2">
      <c r="A470" s="2">
        <v>19725</v>
      </c>
      <c r="B470" s="3">
        <v>35.31</v>
      </c>
      <c r="C470" s="2">
        <v>19724</v>
      </c>
      <c r="D470" s="3">
        <v>24.81</v>
      </c>
      <c r="G470">
        <f t="shared" si="15"/>
        <v>10</v>
      </c>
      <c r="H470">
        <f t="shared" si="16"/>
        <v>10</v>
      </c>
    </row>
    <row r="471" spans="1:8" x14ac:dyDescent="0.2">
      <c r="A471" s="2">
        <v>19756</v>
      </c>
      <c r="B471" s="3">
        <v>35.31</v>
      </c>
      <c r="C471" s="2">
        <v>19753</v>
      </c>
      <c r="D471" s="3">
        <v>26.08</v>
      </c>
      <c r="G471">
        <f t="shared" si="15"/>
        <v>10</v>
      </c>
      <c r="H471">
        <f t="shared" si="16"/>
        <v>10</v>
      </c>
    </row>
    <row r="472" spans="1:8" x14ac:dyDescent="0.2">
      <c r="A472" s="2">
        <v>19784</v>
      </c>
      <c r="B472" s="3">
        <v>35.31</v>
      </c>
      <c r="C472" s="2">
        <v>19781</v>
      </c>
      <c r="D472" s="3">
        <v>26.15</v>
      </c>
      <c r="G472">
        <f t="shared" si="15"/>
        <v>10</v>
      </c>
      <c r="H472">
        <f t="shared" si="16"/>
        <v>10</v>
      </c>
    </row>
    <row r="473" spans="1:8" x14ac:dyDescent="0.2">
      <c r="A473" s="2">
        <v>19815</v>
      </c>
      <c r="B473" s="3">
        <v>35.31</v>
      </c>
      <c r="C473" s="2">
        <v>19814</v>
      </c>
      <c r="D473" s="3">
        <v>26.94</v>
      </c>
      <c r="G473">
        <f t="shared" si="15"/>
        <v>10</v>
      </c>
      <c r="H473">
        <f t="shared" si="16"/>
        <v>10</v>
      </c>
    </row>
    <row r="474" spans="1:8" x14ac:dyDescent="0.2">
      <c r="A474" s="2">
        <v>19845</v>
      </c>
      <c r="B474" s="3">
        <v>35.31</v>
      </c>
      <c r="C474" s="2">
        <v>19844</v>
      </c>
      <c r="D474" s="3">
        <v>28.26</v>
      </c>
      <c r="G474">
        <f t="shared" si="15"/>
        <v>10</v>
      </c>
      <c r="H474">
        <f t="shared" si="16"/>
        <v>10</v>
      </c>
    </row>
    <row r="475" spans="1:8" x14ac:dyDescent="0.2">
      <c r="A475" s="2">
        <v>19876</v>
      </c>
      <c r="B475" s="3">
        <v>35.31</v>
      </c>
      <c r="C475" s="2">
        <v>19872</v>
      </c>
      <c r="D475" s="3">
        <v>29.19</v>
      </c>
      <c r="G475">
        <f t="shared" si="15"/>
        <v>10</v>
      </c>
      <c r="H475">
        <f t="shared" si="16"/>
        <v>10</v>
      </c>
    </row>
    <row r="476" spans="1:8" x14ac:dyDescent="0.2">
      <c r="A476" s="2">
        <v>19906</v>
      </c>
      <c r="B476" s="3">
        <v>35.31</v>
      </c>
      <c r="C476" s="2">
        <v>19905</v>
      </c>
      <c r="D476" s="3">
        <v>29.21</v>
      </c>
      <c r="G476">
        <f t="shared" si="15"/>
        <v>10</v>
      </c>
      <c r="H476">
        <f t="shared" si="16"/>
        <v>10</v>
      </c>
    </row>
    <row r="477" spans="1:8" x14ac:dyDescent="0.2">
      <c r="A477" s="2">
        <v>19937</v>
      </c>
      <c r="B477" s="3">
        <v>35.31</v>
      </c>
      <c r="C477" s="2">
        <v>19935</v>
      </c>
      <c r="D477" s="3">
        <v>30.88</v>
      </c>
      <c r="G477">
        <f t="shared" si="15"/>
        <v>10</v>
      </c>
      <c r="H477">
        <f t="shared" si="16"/>
        <v>10</v>
      </c>
    </row>
    <row r="478" spans="1:8" x14ac:dyDescent="0.2">
      <c r="A478" s="2">
        <v>19968</v>
      </c>
      <c r="B478" s="3">
        <v>35.31</v>
      </c>
      <c r="C478" s="2">
        <v>19967</v>
      </c>
      <c r="D478" s="3">
        <v>29.83</v>
      </c>
      <c r="G478">
        <f t="shared" si="15"/>
        <v>10</v>
      </c>
      <c r="H478">
        <f t="shared" si="16"/>
        <v>10</v>
      </c>
    </row>
    <row r="479" spans="1:8" x14ac:dyDescent="0.2">
      <c r="A479" s="2">
        <v>19998</v>
      </c>
      <c r="B479" s="3">
        <v>35.31</v>
      </c>
      <c r="C479" s="2">
        <v>19997</v>
      </c>
      <c r="D479" s="3">
        <v>32.31</v>
      </c>
      <c r="G479">
        <f t="shared" si="15"/>
        <v>10</v>
      </c>
      <c r="H479">
        <f t="shared" si="16"/>
        <v>10</v>
      </c>
    </row>
    <row r="480" spans="1:8" x14ac:dyDescent="0.2">
      <c r="A480" s="2">
        <v>20029</v>
      </c>
      <c r="B480" s="3">
        <v>35.31</v>
      </c>
      <c r="C480" s="2">
        <v>20026</v>
      </c>
      <c r="D480" s="3">
        <v>31.68</v>
      </c>
      <c r="G480">
        <f t="shared" si="15"/>
        <v>10</v>
      </c>
      <c r="H480">
        <f t="shared" si="16"/>
        <v>10</v>
      </c>
    </row>
    <row r="481" spans="1:8" x14ac:dyDescent="0.2">
      <c r="A481" s="2">
        <v>20059</v>
      </c>
      <c r="B481" s="3">
        <v>35.31</v>
      </c>
      <c r="C481" s="2">
        <v>20058</v>
      </c>
      <c r="D481" s="3">
        <v>34.24</v>
      </c>
      <c r="G481">
        <f t="shared" si="15"/>
        <v>10</v>
      </c>
      <c r="H481">
        <f t="shared" si="16"/>
        <v>10</v>
      </c>
    </row>
    <row r="482" spans="1:8" x14ac:dyDescent="0.2">
      <c r="A482" s="2">
        <v>20090</v>
      </c>
      <c r="B482" s="3">
        <v>35.31</v>
      </c>
      <c r="C482" s="2">
        <v>20089</v>
      </c>
      <c r="D482" s="3">
        <v>35.979999999999997</v>
      </c>
      <c r="G482">
        <f t="shared" si="15"/>
        <v>10</v>
      </c>
      <c r="H482">
        <f t="shared" si="16"/>
        <v>10</v>
      </c>
    </row>
    <row r="483" spans="1:8" x14ac:dyDescent="0.2">
      <c r="A483" s="2">
        <v>20121</v>
      </c>
      <c r="B483" s="3">
        <v>35.31</v>
      </c>
      <c r="C483" s="2">
        <v>20120</v>
      </c>
      <c r="D483" s="3">
        <v>36.630000000000003</v>
      </c>
      <c r="G483">
        <f t="shared" si="15"/>
        <v>10</v>
      </c>
      <c r="H483">
        <f t="shared" si="16"/>
        <v>10</v>
      </c>
    </row>
    <row r="484" spans="1:8" x14ac:dyDescent="0.2">
      <c r="A484" s="2">
        <v>20149</v>
      </c>
      <c r="B484" s="3">
        <v>35.31</v>
      </c>
      <c r="C484" s="2">
        <v>20148</v>
      </c>
      <c r="D484" s="3">
        <v>36.76</v>
      </c>
      <c r="G484">
        <f t="shared" si="15"/>
        <v>10</v>
      </c>
      <c r="H484">
        <f t="shared" si="16"/>
        <v>10</v>
      </c>
    </row>
    <row r="485" spans="1:8" x14ac:dyDescent="0.2">
      <c r="A485" s="2">
        <v>20180</v>
      </c>
      <c r="B485" s="3">
        <v>35.31</v>
      </c>
      <c r="C485" s="2">
        <v>20179</v>
      </c>
      <c r="D485" s="3">
        <v>36.58</v>
      </c>
      <c r="G485">
        <f t="shared" si="15"/>
        <v>10</v>
      </c>
      <c r="H485">
        <f t="shared" si="16"/>
        <v>10</v>
      </c>
    </row>
    <row r="486" spans="1:8" x14ac:dyDescent="0.2">
      <c r="A486" s="2">
        <v>20210</v>
      </c>
      <c r="B486" s="3">
        <v>35.31</v>
      </c>
      <c r="C486" s="2">
        <v>20208</v>
      </c>
      <c r="D486" s="3">
        <v>37.96</v>
      </c>
      <c r="G486">
        <f t="shared" si="15"/>
        <v>10</v>
      </c>
      <c r="H486">
        <f t="shared" si="16"/>
        <v>10</v>
      </c>
    </row>
    <row r="487" spans="1:8" x14ac:dyDescent="0.2">
      <c r="A487" s="2">
        <v>20241</v>
      </c>
      <c r="B487" s="3">
        <v>35.31</v>
      </c>
      <c r="C487" s="2">
        <v>20240</v>
      </c>
      <c r="D487" s="3">
        <v>37.909999999999997</v>
      </c>
      <c r="G487">
        <f t="shared" si="15"/>
        <v>10</v>
      </c>
      <c r="H487">
        <f t="shared" si="16"/>
        <v>10</v>
      </c>
    </row>
    <row r="488" spans="1:8" x14ac:dyDescent="0.2">
      <c r="A488" s="2">
        <v>20271</v>
      </c>
      <c r="B488" s="3">
        <v>35.31</v>
      </c>
      <c r="C488" s="2">
        <v>20270</v>
      </c>
      <c r="D488" s="3">
        <v>41.03</v>
      </c>
      <c r="G488">
        <f t="shared" si="15"/>
        <v>10</v>
      </c>
      <c r="H488">
        <f t="shared" si="16"/>
        <v>10</v>
      </c>
    </row>
    <row r="489" spans="1:8" x14ac:dyDescent="0.2">
      <c r="A489" s="2">
        <v>20302</v>
      </c>
      <c r="B489" s="3">
        <v>35.31</v>
      </c>
      <c r="C489" s="2">
        <v>20299</v>
      </c>
      <c r="D489" s="3">
        <v>43.52</v>
      </c>
      <c r="G489">
        <f t="shared" si="15"/>
        <v>10</v>
      </c>
      <c r="H489">
        <f t="shared" si="16"/>
        <v>10</v>
      </c>
    </row>
    <row r="490" spans="1:8" x14ac:dyDescent="0.2">
      <c r="A490" s="2">
        <v>20333</v>
      </c>
      <c r="B490" s="3">
        <v>35.31</v>
      </c>
      <c r="C490" s="2">
        <v>20332</v>
      </c>
      <c r="D490" s="3">
        <v>43.18</v>
      </c>
      <c r="G490">
        <f t="shared" si="15"/>
        <v>10</v>
      </c>
      <c r="H490">
        <f t="shared" si="16"/>
        <v>10</v>
      </c>
    </row>
    <row r="491" spans="1:8" x14ac:dyDescent="0.2">
      <c r="A491" s="2">
        <v>20363</v>
      </c>
      <c r="B491" s="3">
        <v>35.31</v>
      </c>
      <c r="C491" s="2">
        <v>20362</v>
      </c>
      <c r="D491" s="3">
        <v>43.67</v>
      </c>
      <c r="G491">
        <f t="shared" si="15"/>
        <v>10</v>
      </c>
      <c r="H491">
        <f t="shared" si="16"/>
        <v>10</v>
      </c>
    </row>
    <row r="492" spans="1:8" x14ac:dyDescent="0.2">
      <c r="A492" s="2">
        <v>20394</v>
      </c>
      <c r="B492" s="3">
        <v>35.31</v>
      </c>
      <c r="C492" s="2">
        <v>20393</v>
      </c>
      <c r="D492" s="3">
        <v>42.34</v>
      </c>
      <c r="G492">
        <f t="shared" si="15"/>
        <v>10</v>
      </c>
      <c r="H492">
        <f t="shared" si="16"/>
        <v>10</v>
      </c>
    </row>
    <row r="493" spans="1:8" x14ac:dyDescent="0.2">
      <c r="A493" s="2">
        <v>20424</v>
      </c>
      <c r="B493" s="3">
        <v>35.31</v>
      </c>
      <c r="C493" s="2">
        <v>20423</v>
      </c>
      <c r="D493" s="3">
        <v>45.51</v>
      </c>
      <c r="G493">
        <f t="shared" si="15"/>
        <v>10</v>
      </c>
      <c r="H493">
        <f t="shared" si="16"/>
        <v>10</v>
      </c>
    </row>
    <row r="494" spans="1:8" x14ac:dyDescent="0.2">
      <c r="A494" s="2">
        <v>20455</v>
      </c>
      <c r="B494" s="3">
        <v>35.31</v>
      </c>
      <c r="C494" s="2">
        <v>20453</v>
      </c>
      <c r="D494" s="3">
        <v>45.48</v>
      </c>
      <c r="G494">
        <f t="shared" si="15"/>
        <v>10</v>
      </c>
      <c r="H494">
        <f t="shared" si="16"/>
        <v>10</v>
      </c>
    </row>
    <row r="495" spans="1:8" x14ac:dyDescent="0.2">
      <c r="A495" s="2">
        <v>20486</v>
      </c>
      <c r="B495" s="3">
        <v>35.31</v>
      </c>
      <c r="C495" s="2">
        <v>20485</v>
      </c>
      <c r="D495" s="3">
        <v>43.82</v>
      </c>
      <c r="G495">
        <f t="shared" si="15"/>
        <v>10</v>
      </c>
      <c r="H495">
        <f t="shared" si="16"/>
        <v>10</v>
      </c>
    </row>
    <row r="496" spans="1:8" x14ac:dyDescent="0.2">
      <c r="A496" s="2">
        <v>20515</v>
      </c>
      <c r="B496" s="3">
        <v>35.31</v>
      </c>
      <c r="C496" s="2">
        <v>20514</v>
      </c>
      <c r="D496" s="3">
        <v>45.34</v>
      </c>
      <c r="G496">
        <f t="shared" si="15"/>
        <v>10</v>
      </c>
      <c r="H496">
        <f t="shared" si="16"/>
        <v>10</v>
      </c>
    </row>
    <row r="497" spans="1:8" x14ac:dyDescent="0.2">
      <c r="A497" s="2">
        <v>20546</v>
      </c>
      <c r="B497" s="3">
        <v>35.31</v>
      </c>
      <c r="C497" s="2">
        <v>20543</v>
      </c>
      <c r="D497" s="3">
        <v>48.48</v>
      </c>
      <c r="G497">
        <f t="shared" si="15"/>
        <v>10</v>
      </c>
      <c r="H497">
        <f t="shared" si="16"/>
        <v>10</v>
      </c>
    </row>
    <row r="498" spans="1:8" x14ac:dyDescent="0.2">
      <c r="A498" s="2">
        <v>20576</v>
      </c>
      <c r="B498" s="3">
        <v>35.31</v>
      </c>
      <c r="C498" s="2">
        <v>20575</v>
      </c>
      <c r="D498" s="3">
        <v>48.38</v>
      </c>
      <c r="G498">
        <f t="shared" si="15"/>
        <v>10</v>
      </c>
      <c r="H498">
        <f t="shared" si="16"/>
        <v>10</v>
      </c>
    </row>
    <row r="499" spans="1:8" x14ac:dyDescent="0.2">
      <c r="A499" s="2">
        <v>20607</v>
      </c>
      <c r="B499" s="3">
        <v>35.31</v>
      </c>
      <c r="C499" s="2">
        <v>20606</v>
      </c>
      <c r="D499" s="3">
        <v>45.2</v>
      </c>
      <c r="G499">
        <f t="shared" si="15"/>
        <v>10</v>
      </c>
      <c r="H499">
        <f t="shared" si="16"/>
        <v>10</v>
      </c>
    </row>
    <row r="500" spans="1:8" x14ac:dyDescent="0.2">
      <c r="A500" s="2">
        <v>20637</v>
      </c>
      <c r="B500" s="3">
        <v>35.31</v>
      </c>
      <c r="C500" s="2">
        <v>20635</v>
      </c>
      <c r="D500" s="3">
        <v>46.97</v>
      </c>
      <c r="G500">
        <f t="shared" si="15"/>
        <v>10</v>
      </c>
      <c r="H500">
        <f t="shared" si="16"/>
        <v>10</v>
      </c>
    </row>
    <row r="501" spans="1:8" x14ac:dyDescent="0.2">
      <c r="A501" s="2">
        <v>20668</v>
      </c>
      <c r="B501" s="3">
        <v>35.31</v>
      </c>
      <c r="C501" s="2">
        <v>20667</v>
      </c>
      <c r="D501" s="3">
        <v>49.39</v>
      </c>
      <c r="G501">
        <f t="shared" si="15"/>
        <v>10</v>
      </c>
      <c r="H501">
        <f t="shared" si="16"/>
        <v>10</v>
      </c>
    </row>
    <row r="502" spans="1:8" x14ac:dyDescent="0.2">
      <c r="A502" s="2">
        <v>20699</v>
      </c>
      <c r="B502" s="3">
        <v>35.31</v>
      </c>
      <c r="C502" s="2">
        <v>20698</v>
      </c>
      <c r="D502" s="3">
        <v>47.51</v>
      </c>
      <c r="G502">
        <f t="shared" si="15"/>
        <v>10</v>
      </c>
      <c r="H502">
        <f t="shared" si="16"/>
        <v>10</v>
      </c>
    </row>
    <row r="503" spans="1:8" x14ac:dyDescent="0.2">
      <c r="A503" s="2">
        <v>20729</v>
      </c>
      <c r="B503" s="3">
        <v>35.31</v>
      </c>
      <c r="C503" s="2">
        <v>20726</v>
      </c>
      <c r="D503" s="3">
        <v>45.35</v>
      </c>
      <c r="G503">
        <f t="shared" si="15"/>
        <v>10</v>
      </c>
      <c r="H503">
        <f t="shared" si="16"/>
        <v>10</v>
      </c>
    </row>
    <row r="504" spans="1:8" x14ac:dyDescent="0.2">
      <c r="A504" s="2">
        <v>20760</v>
      </c>
      <c r="B504" s="3">
        <v>35.31</v>
      </c>
      <c r="C504" s="2">
        <v>20759</v>
      </c>
      <c r="D504" s="3">
        <v>45.58</v>
      </c>
      <c r="G504">
        <f t="shared" si="15"/>
        <v>10</v>
      </c>
      <c r="H504">
        <f t="shared" si="16"/>
        <v>10</v>
      </c>
    </row>
    <row r="505" spans="1:8" x14ac:dyDescent="0.2">
      <c r="A505" s="2">
        <v>20790</v>
      </c>
      <c r="B505" s="3">
        <v>35.31</v>
      </c>
      <c r="C505" s="2">
        <v>20789</v>
      </c>
      <c r="D505" s="3">
        <v>45.08</v>
      </c>
      <c r="G505">
        <f t="shared" si="15"/>
        <v>10</v>
      </c>
      <c r="H505">
        <f t="shared" si="16"/>
        <v>10</v>
      </c>
    </row>
    <row r="506" spans="1:8" x14ac:dyDescent="0.2">
      <c r="A506" s="2">
        <v>20821</v>
      </c>
      <c r="B506" s="3">
        <v>35</v>
      </c>
      <c r="C506" s="2">
        <v>20820</v>
      </c>
      <c r="D506" s="3">
        <v>46.67</v>
      </c>
      <c r="G506">
        <f t="shared" si="15"/>
        <v>10</v>
      </c>
      <c r="H506">
        <f t="shared" si="16"/>
        <v>10</v>
      </c>
    </row>
    <row r="507" spans="1:8" x14ac:dyDescent="0.2">
      <c r="A507" s="2">
        <v>20852</v>
      </c>
      <c r="B507" s="3">
        <v>35</v>
      </c>
      <c r="C507" s="2">
        <v>20851</v>
      </c>
      <c r="D507" s="3">
        <v>44.72</v>
      </c>
      <c r="G507">
        <f t="shared" si="15"/>
        <v>10</v>
      </c>
      <c r="H507">
        <f t="shared" si="16"/>
        <v>10</v>
      </c>
    </row>
    <row r="508" spans="1:8" x14ac:dyDescent="0.2">
      <c r="A508" s="2">
        <v>20880</v>
      </c>
      <c r="B508" s="3">
        <v>35</v>
      </c>
      <c r="C508" s="2">
        <v>20879</v>
      </c>
      <c r="D508" s="3">
        <v>43.26</v>
      </c>
      <c r="G508">
        <f t="shared" si="15"/>
        <v>10</v>
      </c>
      <c r="H508">
        <f t="shared" si="16"/>
        <v>10</v>
      </c>
    </row>
    <row r="509" spans="1:8" x14ac:dyDescent="0.2">
      <c r="A509" s="2">
        <v>20911</v>
      </c>
      <c r="B509" s="3">
        <v>35</v>
      </c>
      <c r="C509" s="2">
        <v>20908</v>
      </c>
      <c r="D509" s="3">
        <v>44.11</v>
      </c>
      <c r="G509">
        <f t="shared" si="15"/>
        <v>10</v>
      </c>
      <c r="H509">
        <f t="shared" si="16"/>
        <v>10</v>
      </c>
    </row>
    <row r="510" spans="1:8" x14ac:dyDescent="0.2">
      <c r="A510" s="2">
        <v>20941</v>
      </c>
      <c r="B510" s="3">
        <v>35</v>
      </c>
      <c r="C510" s="2">
        <v>20940</v>
      </c>
      <c r="D510" s="3">
        <v>45.74</v>
      </c>
      <c r="G510">
        <f t="shared" si="15"/>
        <v>10</v>
      </c>
      <c r="H510">
        <f t="shared" si="16"/>
        <v>10</v>
      </c>
    </row>
    <row r="511" spans="1:8" x14ac:dyDescent="0.2">
      <c r="A511" s="2">
        <v>20972</v>
      </c>
      <c r="B511" s="3">
        <v>35</v>
      </c>
      <c r="C511" s="2">
        <v>20971</v>
      </c>
      <c r="D511" s="3">
        <v>47.43</v>
      </c>
      <c r="G511">
        <f t="shared" si="15"/>
        <v>10</v>
      </c>
      <c r="H511">
        <f t="shared" si="16"/>
        <v>10</v>
      </c>
    </row>
    <row r="512" spans="1:8" x14ac:dyDescent="0.2">
      <c r="A512" s="2">
        <v>21002</v>
      </c>
      <c r="B512" s="3">
        <v>35</v>
      </c>
      <c r="C512" s="2">
        <v>20999</v>
      </c>
      <c r="D512" s="3">
        <v>47.37</v>
      </c>
      <c r="G512">
        <f t="shared" si="15"/>
        <v>10</v>
      </c>
      <c r="H512">
        <f t="shared" si="16"/>
        <v>10</v>
      </c>
    </row>
    <row r="513" spans="1:8" x14ac:dyDescent="0.2">
      <c r="A513" s="2">
        <v>21033</v>
      </c>
      <c r="B513" s="3">
        <v>35</v>
      </c>
      <c r="C513" s="2">
        <v>21032</v>
      </c>
      <c r="D513" s="3">
        <v>47.91</v>
      </c>
      <c r="G513">
        <f t="shared" si="15"/>
        <v>10</v>
      </c>
      <c r="H513">
        <f t="shared" si="16"/>
        <v>10</v>
      </c>
    </row>
    <row r="514" spans="1:8" x14ac:dyDescent="0.2">
      <c r="A514" s="2">
        <v>21064</v>
      </c>
      <c r="B514" s="3">
        <v>35</v>
      </c>
      <c r="C514" s="2">
        <v>21062</v>
      </c>
      <c r="D514" s="3">
        <v>45.22</v>
      </c>
      <c r="G514">
        <f t="shared" si="15"/>
        <v>10</v>
      </c>
      <c r="H514">
        <f t="shared" si="16"/>
        <v>10</v>
      </c>
    </row>
    <row r="515" spans="1:8" x14ac:dyDescent="0.2">
      <c r="A515" s="2">
        <v>21094</v>
      </c>
      <c r="B515" s="3">
        <v>35</v>
      </c>
      <c r="C515" s="2">
        <v>21093</v>
      </c>
      <c r="D515" s="3">
        <v>42.42</v>
      </c>
      <c r="G515">
        <f t="shared" ref="G515:G578" si="17">IF(AND(A515&gt;=DATE(1973,1,1), A515&lt;=DATE(1982,12,31)), 10000, 10)</f>
        <v>10</v>
      </c>
      <c r="H515">
        <f t="shared" ref="H515:H578" si="18">IF(AND(A515&gt;=DATE(1983,1,1), A515&lt;=DATE(2007,12,31)), 10000, 10)</f>
        <v>10</v>
      </c>
    </row>
    <row r="516" spans="1:8" x14ac:dyDescent="0.2">
      <c r="A516" s="2">
        <v>21125</v>
      </c>
      <c r="B516" s="3">
        <v>35</v>
      </c>
      <c r="C516" s="2">
        <v>21124</v>
      </c>
      <c r="D516" s="3">
        <v>41.06</v>
      </c>
      <c r="G516">
        <f t="shared" si="17"/>
        <v>10</v>
      </c>
      <c r="H516">
        <f t="shared" si="18"/>
        <v>10</v>
      </c>
    </row>
    <row r="517" spans="1:8" x14ac:dyDescent="0.2">
      <c r="A517" s="2">
        <v>21155</v>
      </c>
      <c r="B517" s="3">
        <v>35</v>
      </c>
      <c r="C517" s="2">
        <v>21153</v>
      </c>
      <c r="D517" s="3">
        <v>41.72</v>
      </c>
      <c r="G517">
        <f t="shared" si="17"/>
        <v>10</v>
      </c>
      <c r="H517">
        <f t="shared" si="18"/>
        <v>10</v>
      </c>
    </row>
    <row r="518" spans="1:8" x14ac:dyDescent="0.2">
      <c r="A518" s="2">
        <v>21186</v>
      </c>
      <c r="B518" s="3">
        <v>35.31</v>
      </c>
      <c r="C518" s="2">
        <v>21185</v>
      </c>
      <c r="D518" s="3">
        <v>39.99</v>
      </c>
      <c r="G518">
        <f t="shared" si="17"/>
        <v>10</v>
      </c>
      <c r="H518">
        <f t="shared" si="18"/>
        <v>10</v>
      </c>
    </row>
    <row r="519" spans="1:8" x14ac:dyDescent="0.2">
      <c r="A519" s="2">
        <v>21217</v>
      </c>
      <c r="B519" s="3">
        <v>35.31</v>
      </c>
      <c r="C519" s="2">
        <v>21216</v>
      </c>
      <c r="D519" s="3">
        <v>41.7</v>
      </c>
      <c r="G519">
        <f t="shared" si="17"/>
        <v>10</v>
      </c>
      <c r="H519">
        <f t="shared" si="18"/>
        <v>10</v>
      </c>
    </row>
    <row r="520" spans="1:8" x14ac:dyDescent="0.2">
      <c r="A520" s="2">
        <v>21245</v>
      </c>
      <c r="B520" s="3">
        <v>35.31</v>
      </c>
      <c r="C520" s="2">
        <v>21244</v>
      </c>
      <c r="D520" s="3">
        <v>40.840000000000003</v>
      </c>
      <c r="G520">
        <f t="shared" si="17"/>
        <v>10</v>
      </c>
      <c r="H520">
        <f t="shared" si="18"/>
        <v>10</v>
      </c>
    </row>
    <row r="521" spans="1:8" x14ac:dyDescent="0.2">
      <c r="A521" s="2">
        <v>21276</v>
      </c>
      <c r="B521" s="3">
        <v>35.31</v>
      </c>
      <c r="C521" s="2">
        <v>21275</v>
      </c>
      <c r="D521" s="3">
        <v>42.1</v>
      </c>
      <c r="G521">
        <f t="shared" si="17"/>
        <v>10</v>
      </c>
      <c r="H521">
        <f t="shared" si="18"/>
        <v>10</v>
      </c>
    </row>
    <row r="522" spans="1:8" x14ac:dyDescent="0.2">
      <c r="A522" s="2">
        <v>21306</v>
      </c>
      <c r="B522" s="3">
        <v>35.31</v>
      </c>
      <c r="C522" s="2">
        <v>21305</v>
      </c>
      <c r="D522" s="3">
        <v>43.44</v>
      </c>
      <c r="G522">
        <f t="shared" si="17"/>
        <v>10</v>
      </c>
      <c r="H522">
        <f t="shared" si="18"/>
        <v>10</v>
      </c>
    </row>
    <row r="523" spans="1:8" x14ac:dyDescent="0.2">
      <c r="A523" s="2">
        <v>21337</v>
      </c>
      <c r="B523" s="3">
        <v>35.31</v>
      </c>
      <c r="C523" s="2">
        <v>21334</v>
      </c>
      <c r="D523" s="3">
        <v>44.09</v>
      </c>
      <c r="G523">
        <f t="shared" si="17"/>
        <v>10</v>
      </c>
      <c r="H523">
        <f t="shared" si="18"/>
        <v>10</v>
      </c>
    </row>
    <row r="524" spans="1:8" x14ac:dyDescent="0.2">
      <c r="A524" s="2">
        <v>21367</v>
      </c>
      <c r="B524" s="3">
        <v>35.31</v>
      </c>
      <c r="C524" s="2">
        <v>21366</v>
      </c>
      <c r="D524" s="3">
        <v>45.24</v>
      </c>
      <c r="G524">
        <f t="shared" si="17"/>
        <v>10</v>
      </c>
      <c r="H524">
        <f t="shared" si="18"/>
        <v>10</v>
      </c>
    </row>
    <row r="525" spans="1:8" x14ac:dyDescent="0.2">
      <c r="A525" s="2">
        <v>21398</v>
      </c>
      <c r="B525" s="3">
        <v>35.31</v>
      </c>
      <c r="C525" s="2">
        <v>21397</v>
      </c>
      <c r="D525" s="3">
        <v>47.19</v>
      </c>
      <c r="G525">
        <f t="shared" si="17"/>
        <v>10</v>
      </c>
      <c r="H525">
        <f t="shared" si="18"/>
        <v>10</v>
      </c>
    </row>
    <row r="526" spans="1:8" x14ac:dyDescent="0.2">
      <c r="A526" s="2">
        <v>21429</v>
      </c>
      <c r="B526" s="3">
        <v>35.31</v>
      </c>
      <c r="C526" s="2">
        <v>21426</v>
      </c>
      <c r="D526" s="3">
        <v>47.75</v>
      </c>
      <c r="G526">
        <f t="shared" si="17"/>
        <v>10</v>
      </c>
      <c r="H526">
        <f t="shared" si="18"/>
        <v>10</v>
      </c>
    </row>
    <row r="527" spans="1:8" x14ac:dyDescent="0.2">
      <c r="A527" s="2">
        <v>21459</v>
      </c>
      <c r="B527" s="3">
        <v>35.31</v>
      </c>
      <c r="C527" s="2">
        <v>21458</v>
      </c>
      <c r="D527" s="3">
        <v>50.06</v>
      </c>
      <c r="G527">
        <f t="shared" si="17"/>
        <v>10</v>
      </c>
      <c r="H527">
        <f t="shared" si="18"/>
        <v>10</v>
      </c>
    </row>
    <row r="528" spans="1:8" x14ac:dyDescent="0.2">
      <c r="A528" s="2">
        <v>21490</v>
      </c>
      <c r="B528" s="3">
        <v>35.31</v>
      </c>
      <c r="C528" s="2">
        <v>21489</v>
      </c>
      <c r="D528" s="3">
        <v>51.33</v>
      </c>
      <c r="G528">
        <f t="shared" si="17"/>
        <v>10</v>
      </c>
      <c r="H528">
        <f t="shared" si="18"/>
        <v>10</v>
      </c>
    </row>
    <row r="529" spans="1:8" x14ac:dyDescent="0.2">
      <c r="A529" s="2">
        <v>21520</v>
      </c>
      <c r="B529" s="3">
        <v>35.31</v>
      </c>
      <c r="C529" s="2">
        <v>21517</v>
      </c>
      <c r="D529" s="3">
        <v>52.48</v>
      </c>
      <c r="G529">
        <f t="shared" si="17"/>
        <v>10</v>
      </c>
      <c r="H529">
        <f t="shared" si="18"/>
        <v>10</v>
      </c>
    </row>
    <row r="530" spans="1:8" x14ac:dyDescent="0.2">
      <c r="A530" s="2">
        <v>21551</v>
      </c>
      <c r="B530" s="3">
        <v>35.31</v>
      </c>
      <c r="C530" s="2">
        <v>21550</v>
      </c>
      <c r="D530" s="3">
        <v>55.21</v>
      </c>
      <c r="G530">
        <f t="shared" si="17"/>
        <v>10</v>
      </c>
      <c r="H530">
        <f t="shared" si="18"/>
        <v>10</v>
      </c>
    </row>
    <row r="531" spans="1:8" x14ac:dyDescent="0.2">
      <c r="A531" s="2">
        <v>21582</v>
      </c>
      <c r="B531" s="3">
        <v>35.31</v>
      </c>
      <c r="C531" s="2">
        <v>21580</v>
      </c>
      <c r="D531" s="3">
        <v>55.45</v>
      </c>
      <c r="G531">
        <f t="shared" si="17"/>
        <v>10</v>
      </c>
      <c r="H531">
        <f t="shared" si="18"/>
        <v>10</v>
      </c>
    </row>
    <row r="532" spans="1:8" x14ac:dyDescent="0.2">
      <c r="A532" s="2">
        <v>21610</v>
      </c>
      <c r="B532" s="3">
        <v>35.31</v>
      </c>
      <c r="C532" s="2">
        <v>21608</v>
      </c>
      <c r="D532" s="3">
        <v>55.41</v>
      </c>
      <c r="G532">
        <f t="shared" si="17"/>
        <v>10</v>
      </c>
      <c r="H532">
        <f t="shared" si="18"/>
        <v>10</v>
      </c>
    </row>
    <row r="533" spans="1:8" x14ac:dyDescent="0.2">
      <c r="A533" s="2">
        <v>21641</v>
      </c>
      <c r="B533" s="3">
        <v>35.31</v>
      </c>
      <c r="C533" s="2">
        <v>21640</v>
      </c>
      <c r="D533" s="3">
        <v>55.44</v>
      </c>
      <c r="G533">
        <f t="shared" si="17"/>
        <v>10</v>
      </c>
      <c r="H533">
        <f t="shared" si="18"/>
        <v>10</v>
      </c>
    </row>
    <row r="534" spans="1:8" x14ac:dyDescent="0.2">
      <c r="A534" s="2">
        <v>21671</v>
      </c>
      <c r="B534" s="3">
        <v>35.31</v>
      </c>
      <c r="C534" s="2">
        <v>21670</v>
      </c>
      <c r="D534" s="3">
        <v>57.59</v>
      </c>
      <c r="G534">
        <f t="shared" si="17"/>
        <v>10</v>
      </c>
      <c r="H534">
        <f t="shared" si="18"/>
        <v>10</v>
      </c>
    </row>
    <row r="535" spans="1:8" x14ac:dyDescent="0.2">
      <c r="A535" s="2">
        <v>21702</v>
      </c>
      <c r="B535" s="3">
        <v>35.31</v>
      </c>
      <c r="C535" s="2">
        <v>21699</v>
      </c>
      <c r="D535" s="3">
        <v>58.68</v>
      </c>
      <c r="G535">
        <f t="shared" si="17"/>
        <v>10</v>
      </c>
      <c r="H535">
        <f t="shared" si="18"/>
        <v>10</v>
      </c>
    </row>
    <row r="536" spans="1:8" x14ac:dyDescent="0.2">
      <c r="A536" s="2">
        <v>21732</v>
      </c>
      <c r="B536" s="3">
        <v>35.31</v>
      </c>
      <c r="C536" s="2">
        <v>21731</v>
      </c>
      <c r="D536" s="3">
        <v>58.47</v>
      </c>
      <c r="G536">
        <f t="shared" si="17"/>
        <v>10</v>
      </c>
      <c r="H536">
        <f t="shared" si="18"/>
        <v>10</v>
      </c>
    </row>
    <row r="537" spans="1:8" x14ac:dyDescent="0.2">
      <c r="A537" s="2">
        <v>21763</v>
      </c>
      <c r="B537" s="3">
        <v>35.31</v>
      </c>
      <c r="C537" s="2">
        <v>21762</v>
      </c>
      <c r="D537" s="3">
        <v>60.51</v>
      </c>
      <c r="G537">
        <f t="shared" si="17"/>
        <v>10</v>
      </c>
      <c r="H537">
        <f t="shared" si="18"/>
        <v>10</v>
      </c>
    </row>
    <row r="538" spans="1:8" x14ac:dyDescent="0.2">
      <c r="A538" s="2">
        <v>21794</v>
      </c>
      <c r="B538" s="3">
        <v>35.31</v>
      </c>
      <c r="C538" s="2">
        <v>21793</v>
      </c>
      <c r="D538" s="3">
        <v>59.6</v>
      </c>
      <c r="G538">
        <f t="shared" si="17"/>
        <v>10</v>
      </c>
      <c r="H538">
        <f t="shared" si="18"/>
        <v>10</v>
      </c>
    </row>
    <row r="539" spans="1:8" x14ac:dyDescent="0.2">
      <c r="A539" s="2">
        <v>21824</v>
      </c>
      <c r="B539" s="3">
        <v>35.31</v>
      </c>
      <c r="C539" s="2">
        <v>21823</v>
      </c>
      <c r="D539" s="3">
        <v>56.88</v>
      </c>
      <c r="G539">
        <f t="shared" si="17"/>
        <v>10</v>
      </c>
      <c r="H539">
        <f t="shared" si="18"/>
        <v>10</v>
      </c>
    </row>
    <row r="540" spans="1:8" x14ac:dyDescent="0.2">
      <c r="A540" s="2">
        <v>21855</v>
      </c>
      <c r="B540" s="3">
        <v>35.31</v>
      </c>
      <c r="C540" s="2">
        <v>21853</v>
      </c>
      <c r="D540" s="3">
        <v>57.52</v>
      </c>
      <c r="G540">
        <f t="shared" si="17"/>
        <v>10</v>
      </c>
      <c r="H540">
        <f t="shared" si="18"/>
        <v>10</v>
      </c>
    </row>
    <row r="541" spans="1:8" x14ac:dyDescent="0.2">
      <c r="A541" s="2">
        <v>21885</v>
      </c>
      <c r="B541" s="3">
        <v>35.31</v>
      </c>
      <c r="C541" s="2">
        <v>21884</v>
      </c>
      <c r="D541" s="3">
        <v>58.28</v>
      </c>
      <c r="G541">
        <f t="shared" si="17"/>
        <v>10</v>
      </c>
      <c r="H541">
        <f t="shared" si="18"/>
        <v>10</v>
      </c>
    </row>
    <row r="542" spans="1:8" x14ac:dyDescent="0.2">
      <c r="A542" s="2">
        <v>21916</v>
      </c>
      <c r="B542" s="3">
        <v>35.31</v>
      </c>
      <c r="C542" s="2">
        <v>21915</v>
      </c>
      <c r="D542" s="3">
        <v>59.89</v>
      </c>
      <c r="G542">
        <f t="shared" si="17"/>
        <v>10</v>
      </c>
      <c r="H542">
        <f t="shared" si="18"/>
        <v>10</v>
      </c>
    </row>
    <row r="543" spans="1:8" x14ac:dyDescent="0.2">
      <c r="A543" s="2">
        <v>21947</v>
      </c>
      <c r="B543" s="3">
        <v>35.31</v>
      </c>
      <c r="C543" s="2">
        <v>21944</v>
      </c>
      <c r="D543" s="3">
        <v>55.61</v>
      </c>
      <c r="G543">
        <f t="shared" si="17"/>
        <v>10</v>
      </c>
      <c r="H543">
        <f t="shared" si="18"/>
        <v>10</v>
      </c>
    </row>
    <row r="544" spans="1:8" x14ac:dyDescent="0.2">
      <c r="A544" s="2">
        <v>21976</v>
      </c>
      <c r="B544" s="3">
        <v>35.31</v>
      </c>
      <c r="C544" s="2">
        <v>21975</v>
      </c>
      <c r="D544" s="3">
        <v>56.12</v>
      </c>
      <c r="G544">
        <f t="shared" si="17"/>
        <v>10</v>
      </c>
      <c r="H544">
        <f t="shared" si="18"/>
        <v>10</v>
      </c>
    </row>
    <row r="545" spans="1:8" x14ac:dyDescent="0.2">
      <c r="A545" s="2">
        <v>22007</v>
      </c>
      <c r="B545" s="3">
        <v>35.31</v>
      </c>
      <c r="C545" s="2">
        <v>22006</v>
      </c>
      <c r="D545" s="3">
        <v>55.34</v>
      </c>
      <c r="G545">
        <f t="shared" si="17"/>
        <v>10</v>
      </c>
      <c r="H545">
        <f t="shared" si="18"/>
        <v>10</v>
      </c>
    </row>
    <row r="546" spans="1:8" x14ac:dyDescent="0.2">
      <c r="A546" s="2">
        <v>22037</v>
      </c>
      <c r="B546" s="3">
        <v>35.31</v>
      </c>
      <c r="C546" s="2">
        <v>22035</v>
      </c>
      <c r="D546" s="3">
        <v>54.37</v>
      </c>
      <c r="G546">
        <f t="shared" si="17"/>
        <v>10</v>
      </c>
      <c r="H546">
        <f t="shared" si="18"/>
        <v>10</v>
      </c>
    </row>
    <row r="547" spans="1:8" x14ac:dyDescent="0.2">
      <c r="A547" s="2">
        <v>22068</v>
      </c>
      <c r="B547" s="3">
        <v>35.31</v>
      </c>
      <c r="C547" s="2">
        <v>22067</v>
      </c>
      <c r="D547" s="3">
        <v>55.83</v>
      </c>
      <c r="G547">
        <f t="shared" si="17"/>
        <v>10</v>
      </c>
      <c r="H547">
        <f t="shared" si="18"/>
        <v>10</v>
      </c>
    </row>
    <row r="548" spans="1:8" x14ac:dyDescent="0.2">
      <c r="A548" s="2">
        <v>22098</v>
      </c>
      <c r="B548" s="3">
        <v>35.31</v>
      </c>
      <c r="C548" s="2">
        <v>22097</v>
      </c>
      <c r="D548" s="3">
        <v>56.92</v>
      </c>
      <c r="G548">
        <f t="shared" si="17"/>
        <v>10</v>
      </c>
      <c r="H548">
        <f t="shared" si="18"/>
        <v>10</v>
      </c>
    </row>
    <row r="549" spans="1:8" x14ac:dyDescent="0.2">
      <c r="A549" s="2">
        <v>22129</v>
      </c>
      <c r="B549" s="3">
        <v>35.31</v>
      </c>
      <c r="C549" s="2">
        <v>22126</v>
      </c>
      <c r="D549" s="3">
        <v>55.51</v>
      </c>
      <c r="G549">
        <f t="shared" si="17"/>
        <v>10</v>
      </c>
      <c r="H549">
        <f t="shared" si="18"/>
        <v>10</v>
      </c>
    </row>
    <row r="550" spans="1:8" x14ac:dyDescent="0.2">
      <c r="A550" s="2">
        <v>22160</v>
      </c>
      <c r="B550" s="3">
        <v>35.31</v>
      </c>
      <c r="C550" s="2">
        <v>22159</v>
      </c>
      <c r="D550" s="3">
        <v>56.96</v>
      </c>
      <c r="G550">
        <f t="shared" si="17"/>
        <v>10</v>
      </c>
      <c r="H550">
        <f t="shared" si="18"/>
        <v>10</v>
      </c>
    </row>
    <row r="551" spans="1:8" x14ac:dyDescent="0.2">
      <c r="A551" s="2">
        <v>22190</v>
      </c>
      <c r="B551" s="3">
        <v>35.31</v>
      </c>
      <c r="C551" s="2">
        <v>22189</v>
      </c>
      <c r="D551" s="3">
        <v>53.52</v>
      </c>
      <c r="G551">
        <f t="shared" si="17"/>
        <v>10</v>
      </c>
      <c r="H551">
        <f t="shared" si="18"/>
        <v>10</v>
      </c>
    </row>
    <row r="552" spans="1:8" x14ac:dyDescent="0.2">
      <c r="A552" s="2">
        <v>22221</v>
      </c>
      <c r="B552" s="3">
        <v>35.31</v>
      </c>
      <c r="C552" s="2">
        <v>22220</v>
      </c>
      <c r="D552" s="3">
        <v>53.39</v>
      </c>
      <c r="G552">
        <f t="shared" si="17"/>
        <v>10</v>
      </c>
      <c r="H552">
        <f t="shared" si="18"/>
        <v>10</v>
      </c>
    </row>
    <row r="553" spans="1:8" x14ac:dyDescent="0.2">
      <c r="A553" s="2">
        <v>22251</v>
      </c>
      <c r="B553" s="3">
        <v>35.31</v>
      </c>
      <c r="C553" s="2">
        <v>22250</v>
      </c>
      <c r="D553" s="3">
        <v>55.54</v>
      </c>
      <c r="G553">
        <f t="shared" si="17"/>
        <v>10</v>
      </c>
      <c r="H553">
        <f t="shared" si="18"/>
        <v>10</v>
      </c>
    </row>
    <row r="554" spans="1:8" x14ac:dyDescent="0.2">
      <c r="A554" s="2">
        <v>22282</v>
      </c>
      <c r="B554" s="3">
        <v>35.31</v>
      </c>
      <c r="C554" s="2">
        <v>22280</v>
      </c>
      <c r="D554" s="3">
        <v>58.11</v>
      </c>
      <c r="G554">
        <f t="shared" si="17"/>
        <v>10</v>
      </c>
      <c r="H554">
        <f t="shared" si="18"/>
        <v>10</v>
      </c>
    </row>
    <row r="555" spans="1:8" x14ac:dyDescent="0.2">
      <c r="A555" s="2">
        <v>22313</v>
      </c>
      <c r="B555" s="3">
        <v>35.31</v>
      </c>
      <c r="C555" s="2">
        <v>22312</v>
      </c>
      <c r="D555" s="3">
        <v>61.78</v>
      </c>
      <c r="G555">
        <f t="shared" si="17"/>
        <v>10</v>
      </c>
      <c r="H555">
        <f t="shared" si="18"/>
        <v>10</v>
      </c>
    </row>
    <row r="556" spans="1:8" x14ac:dyDescent="0.2">
      <c r="A556" s="2">
        <v>22341</v>
      </c>
      <c r="B556" s="3">
        <v>35.31</v>
      </c>
      <c r="C556" s="2">
        <v>22340</v>
      </c>
      <c r="D556" s="3">
        <v>63.44</v>
      </c>
      <c r="G556">
        <f t="shared" si="17"/>
        <v>10</v>
      </c>
      <c r="H556">
        <f t="shared" si="18"/>
        <v>10</v>
      </c>
    </row>
    <row r="557" spans="1:8" x14ac:dyDescent="0.2">
      <c r="A557" s="2">
        <v>22372</v>
      </c>
      <c r="B557" s="3">
        <v>35.31</v>
      </c>
      <c r="C557" s="2">
        <v>22370</v>
      </c>
      <c r="D557" s="3">
        <v>65.06</v>
      </c>
      <c r="G557">
        <f t="shared" si="17"/>
        <v>10</v>
      </c>
      <c r="H557">
        <f t="shared" si="18"/>
        <v>10</v>
      </c>
    </row>
    <row r="558" spans="1:8" x14ac:dyDescent="0.2">
      <c r="A558" s="2">
        <v>22402</v>
      </c>
      <c r="B558" s="3">
        <v>35.31</v>
      </c>
      <c r="C558" s="2">
        <v>22399</v>
      </c>
      <c r="D558" s="3">
        <v>65.31</v>
      </c>
      <c r="G558">
        <f t="shared" si="17"/>
        <v>10</v>
      </c>
      <c r="H558">
        <f t="shared" si="18"/>
        <v>10</v>
      </c>
    </row>
    <row r="559" spans="1:8" x14ac:dyDescent="0.2">
      <c r="A559" s="2">
        <v>22433</v>
      </c>
      <c r="B559" s="3">
        <v>35.31</v>
      </c>
      <c r="C559" s="2">
        <v>22432</v>
      </c>
      <c r="D559" s="3">
        <v>66.56</v>
      </c>
      <c r="G559">
        <f t="shared" si="17"/>
        <v>10</v>
      </c>
      <c r="H559">
        <f t="shared" si="18"/>
        <v>10</v>
      </c>
    </row>
    <row r="560" spans="1:8" x14ac:dyDescent="0.2">
      <c r="A560" s="2">
        <v>22463</v>
      </c>
      <c r="B560" s="3">
        <v>35.31</v>
      </c>
      <c r="C560" s="2">
        <v>22462</v>
      </c>
      <c r="D560" s="3">
        <v>64.64</v>
      </c>
      <c r="G560">
        <f t="shared" si="17"/>
        <v>10</v>
      </c>
      <c r="H560">
        <f t="shared" si="18"/>
        <v>10</v>
      </c>
    </row>
    <row r="561" spans="1:8" x14ac:dyDescent="0.2">
      <c r="A561" s="2">
        <v>22494</v>
      </c>
      <c r="B561" s="3">
        <v>35.31</v>
      </c>
      <c r="C561" s="2">
        <v>22493</v>
      </c>
      <c r="D561" s="3">
        <v>66.760000000000005</v>
      </c>
      <c r="G561">
        <f t="shared" si="17"/>
        <v>10</v>
      </c>
      <c r="H561">
        <f t="shared" si="18"/>
        <v>10</v>
      </c>
    </row>
    <row r="562" spans="1:8" x14ac:dyDescent="0.2">
      <c r="A562" s="2">
        <v>22525</v>
      </c>
      <c r="B562" s="3">
        <v>35.31</v>
      </c>
      <c r="C562" s="2">
        <v>22524</v>
      </c>
      <c r="D562" s="3">
        <v>68.069999999999993</v>
      </c>
      <c r="G562">
        <f t="shared" si="17"/>
        <v>10</v>
      </c>
      <c r="H562">
        <f t="shared" si="18"/>
        <v>10</v>
      </c>
    </row>
    <row r="563" spans="1:8" x14ac:dyDescent="0.2">
      <c r="A563" s="2">
        <v>22555</v>
      </c>
      <c r="B563" s="3">
        <v>35.31</v>
      </c>
      <c r="C563" s="2">
        <v>22553</v>
      </c>
      <c r="D563" s="3">
        <v>66.73</v>
      </c>
      <c r="G563">
        <f t="shared" si="17"/>
        <v>10</v>
      </c>
      <c r="H563">
        <f t="shared" si="18"/>
        <v>10</v>
      </c>
    </row>
    <row r="564" spans="1:8" x14ac:dyDescent="0.2">
      <c r="A564" s="2">
        <v>22586</v>
      </c>
      <c r="B564" s="3">
        <v>35.31</v>
      </c>
      <c r="C564" s="2">
        <v>22585</v>
      </c>
      <c r="D564" s="3">
        <v>68.62</v>
      </c>
      <c r="G564">
        <f t="shared" si="17"/>
        <v>10</v>
      </c>
      <c r="H564">
        <f t="shared" si="18"/>
        <v>10</v>
      </c>
    </row>
    <row r="565" spans="1:8" x14ac:dyDescent="0.2">
      <c r="A565" s="2">
        <v>22616</v>
      </c>
      <c r="B565" s="3">
        <v>35.31</v>
      </c>
      <c r="C565" s="2">
        <v>22615</v>
      </c>
      <c r="D565" s="3">
        <v>71.319999999999993</v>
      </c>
      <c r="G565">
        <f t="shared" si="17"/>
        <v>10</v>
      </c>
      <c r="H565">
        <f t="shared" si="18"/>
        <v>10</v>
      </c>
    </row>
    <row r="566" spans="1:8" x14ac:dyDescent="0.2">
      <c r="A566" s="2">
        <v>22647</v>
      </c>
      <c r="B566" s="3">
        <v>35.31</v>
      </c>
      <c r="C566" s="2">
        <v>22644</v>
      </c>
      <c r="D566" s="3">
        <v>71.55</v>
      </c>
      <c r="G566">
        <f t="shared" si="17"/>
        <v>10</v>
      </c>
      <c r="H566">
        <f t="shared" si="18"/>
        <v>10</v>
      </c>
    </row>
    <row r="567" spans="1:8" x14ac:dyDescent="0.2">
      <c r="A567" s="2">
        <v>22678</v>
      </c>
      <c r="B567" s="3">
        <v>35.31</v>
      </c>
      <c r="C567" s="2">
        <v>22677</v>
      </c>
      <c r="D567" s="3">
        <v>68.84</v>
      </c>
      <c r="G567">
        <f t="shared" si="17"/>
        <v>10</v>
      </c>
      <c r="H567">
        <f t="shared" si="18"/>
        <v>10</v>
      </c>
    </row>
    <row r="568" spans="1:8" x14ac:dyDescent="0.2">
      <c r="A568" s="2">
        <v>22706</v>
      </c>
      <c r="B568" s="3">
        <v>35.31</v>
      </c>
      <c r="C568" s="2">
        <v>22705</v>
      </c>
      <c r="D568" s="3">
        <v>69.959999999999994</v>
      </c>
      <c r="G568">
        <f t="shared" si="17"/>
        <v>10</v>
      </c>
      <c r="H568">
        <f t="shared" si="18"/>
        <v>10</v>
      </c>
    </row>
    <row r="569" spans="1:8" x14ac:dyDescent="0.2">
      <c r="A569" s="2">
        <v>22737</v>
      </c>
      <c r="B569" s="3">
        <v>35.31</v>
      </c>
      <c r="C569" s="2">
        <v>22735</v>
      </c>
      <c r="D569" s="3">
        <v>69.55</v>
      </c>
      <c r="G569">
        <f t="shared" si="17"/>
        <v>10</v>
      </c>
      <c r="H569">
        <f t="shared" si="18"/>
        <v>10</v>
      </c>
    </row>
    <row r="570" spans="1:8" x14ac:dyDescent="0.2">
      <c r="A570" s="2">
        <v>22767</v>
      </c>
      <c r="B570" s="3">
        <v>35.31</v>
      </c>
      <c r="C570" s="2">
        <v>22766</v>
      </c>
      <c r="D570" s="3">
        <v>65.239999999999995</v>
      </c>
      <c r="G570">
        <f t="shared" si="17"/>
        <v>10</v>
      </c>
      <c r="H570">
        <f t="shared" si="18"/>
        <v>10</v>
      </c>
    </row>
    <row r="571" spans="1:8" x14ac:dyDescent="0.2">
      <c r="A571" s="2">
        <v>22798</v>
      </c>
      <c r="B571" s="3">
        <v>35.31</v>
      </c>
      <c r="C571" s="2">
        <v>22797</v>
      </c>
      <c r="D571" s="3">
        <v>59.63</v>
      </c>
      <c r="G571">
        <f t="shared" si="17"/>
        <v>10</v>
      </c>
      <c r="H571">
        <f t="shared" si="18"/>
        <v>10</v>
      </c>
    </row>
    <row r="572" spans="1:8" x14ac:dyDescent="0.2">
      <c r="A572" s="2">
        <v>22828</v>
      </c>
      <c r="B572" s="3">
        <v>35.31</v>
      </c>
      <c r="C572" s="2">
        <v>22826</v>
      </c>
      <c r="D572" s="3">
        <v>54.75</v>
      </c>
      <c r="G572">
        <f t="shared" si="17"/>
        <v>10</v>
      </c>
      <c r="H572">
        <f t="shared" si="18"/>
        <v>10</v>
      </c>
    </row>
    <row r="573" spans="1:8" x14ac:dyDescent="0.2">
      <c r="A573" s="2">
        <v>22859</v>
      </c>
      <c r="B573" s="3">
        <v>35.31</v>
      </c>
      <c r="C573" s="2">
        <v>22858</v>
      </c>
      <c r="D573" s="3">
        <v>58.23</v>
      </c>
      <c r="G573">
        <f t="shared" si="17"/>
        <v>10</v>
      </c>
      <c r="H573">
        <f t="shared" si="18"/>
        <v>10</v>
      </c>
    </row>
    <row r="574" spans="1:8" x14ac:dyDescent="0.2">
      <c r="A574" s="2">
        <v>22890</v>
      </c>
      <c r="B574" s="3">
        <v>35.31</v>
      </c>
      <c r="C574" s="2">
        <v>22889</v>
      </c>
      <c r="D574" s="3">
        <v>59.12</v>
      </c>
      <c r="G574">
        <f t="shared" si="17"/>
        <v>10</v>
      </c>
      <c r="H574">
        <f t="shared" si="18"/>
        <v>10</v>
      </c>
    </row>
    <row r="575" spans="1:8" x14ac:dyDescent="0.2">
      <c r="A575" s="2">
        <v>22920</v>
      </c>
      <c r="B575" s="3">
        <v>35.31</v>
      </c>
      <c r="C575" s="2">
        <v>22917</v>
      </c>
      <c r="D575" s="3">
        <v>56.27</v>
      </c>
      <c r="G575">
        <f t="shared" si="17"/>
        <v>10</v>
      </c>
      <c r="H575">
        <f t="shared" si="18"/>
        <v>10</v>
      </c>
    </row>
    <row r="576" spans="1:8" x14ac:dyDescent="0.2">
      <c r="A576" s="2">
        <v>22951</v>
      </c>
      <c r="B576" s="3">
        <v>35.31</v>
      </c>
      <c r="C576" s="2">
        <v>22950</v>
      </c>
      <c r="D576" s="3">
        <v>56.52</v>
      </c>
      <c r="G576">
        <f t="shared" si="17"/>
        <v>10</v>
      </c>
      <c r="H576">
        <f t="shared" si="18"/>
        <v>10</v>
      </c>
    </row>
    <row r="577" spans="1:8" x14ac:dyDescent="0.2">
      <c r="A577" s="2">
        <v>22981</v>
      </c>
      <c r="B577" s="3">
        <v>35.31</v>
      </c>
      <c r="C577" s="2">
        <v>22980</v>
      </c>
      <c r="D577" s="3">
        <v>62.26</v>
      </c>
      <c r="G577">
        <f t="shared" si="17"/>
        <v>10</v>
      </c>
      <c r="H577">
        <f t="shared" si="18"/>
        <v>10</v>
      </c>
    </row>
    <row r="578" spans="1:8" x14ac:dyDescent="0.2">
      <c r="A578" s="2">
        <v>23012</v>
      </c>
      <c r="B578" s="3">
        <v>35.31</v>
      </c>
      <c r="C578" s="2">
        <v>23011</v>
      </c>
      <c r="D578" s="3">
        <v>63.1</v>
      </c>
      <c r="G578">
        <f t="shared" si="17"/>
        <v>10</v>
      </c>
      <c r="H578">
        <f t="shared" si="18"/>
        <v>10</v>
      </c>
    </row>
    <row r="579" spans="1:8" x14ac:dyDescent="0.2">
      <c r="A579" s="2">
        <v>23043</v>
      </c>
      <c r="B579" s="3">
        <v>35.31</v>
      </c>
      <c r="C579" s="2">
        <v>23042</v>
      </c>
      <c r="D579" s="3">
        <v>66.2</v>
      </c>
      <c r="G579">
        <f t="shared" ref="G579:G642" si="19">IF(AND(A579&gt;=DATE(1973,1,1), A579&lt;=DATE(1982,12,31)), 10000, 10)</f>
        <v>10</v>
      </c>
      <c r="H579">
        <f t="shared" ref="H579:H642" si="20">IF(AND(A579&gt;=DATE(1983,1,1), A579&lt;=DATE(2007,12,31)), 10000, 10)</f>
        <v>10</v>
      </c>
    </row>
    <row r="580" spans="1:8" x14ac:dyDescent="0.2">
      <c r="A580" s="2">
        <v>23071</v>
      </c>
      <c r="B580" s="3">
        <v>35.31</v>
      </c>
      <c r="C580" s="2">
        <v>23070</v>
      </c>
      <c r="D580" s="3">
        <v>64.290000000000006</v>
      </c>
      <c r="G580">
        <f t="shared" si="19"/>
        <v>10</v>
      </c>
      <c r="H580">
        <f t="shared" si="20"/>
        <v>10</v>
      </c>
    </row>
    <row r="581" spans="1:8" x14ac:dyDescent="0.2">
      <c r="A581" s="2">
        <v>23102</v>
      </c>
      <c r="B581" s="3">
        <v>35.31</v>
      </c>
      <c r="C581" s="2">
        <v>23099</v>
      </c>
      <c r="D581" s="3">
        <v>66.569999999999993</v>
      </c>
      <c r="G581">
        <f t="shared" si="19"/>
        <v>10</v>
      </c>
      <c r="H581">
        <f t="shared" si="20"/>
        <v>10</v>
      </c>
    </row>
    <row r="582" spans="1:8" x14ac:dyDescent="0.2">
      <c r="A582" s="2">
        <v>23132</v>
      </c>
      <c r="B582" s="3">
        <v>35.31</v>
      </c>
      <c r="C582" s="2">
        <v>23131</v>
      </c>
      <c r="D582" s="3">
        <v>69.8</v>
      </c>
      <c r="G582">
        <f t="shared" si="19"/>
        <v>10</v>
      </c>
      <c r="H582">
        <f t="shared" si="20"/>
        <v>10</v>
      </c>
    </row>
    <row r="583" spans="1:8" x14ac:dyDescent="0.2">
      <c r="A583" s="2">
        <v>23163</v>
      </c>
      <c r="B583" s="3">
        <v>35.31</v>
      </c>
      <c r="C583" s="2">
        <v>23162</v>
      </c>
      <c r="D583" s="3">
        <v>70.8</v>
      </c>
      <c r="G583">
        <f t="shared" si="19"/>
        <v>10</v>
      </c>
      <c r="H583">
        <f t="shared" si="20"/>
        <v>10</v>
      </c>
    </row>
    <row r="584" spans="1:8" x14ac:dyDescent="0.2">
      <c r="A584" s="2">
        <v>23193</v>
      </c>
      <c r="B584" s="3">
        <v>35.31</v>
      </c>
      <c r="C584" s="2">
        <v>23190</v>
      </c>
      <c r="D584" s="3">
        <v>69.37</v>
      </c>
      <c r="G584">
        <f t="shared" si="19"/>
        <v>10</v>
      </c>
      <c r="H584">
        <f t="shared" si="20"/>
        <v>10</v>
      </c>
    </row>
    <row r="585" spans="1:8" x14ac:dyDescent="0.2">
      <c r="A585" s="2">
        <v>23224</v>
      </c>
      <c r="B585" s="3">
        <v>35.31</v>
      </c>
      <c r="C585" s="2">
        <v>23223</v>
      </c>
      <c r="D585" s="3">
        <v>69.13</v>
      </c>
      <c r="G585">
        <f t="shared" si="19"/>
        <v>10</v>
      </c>
      <c r="H585">
        <f t="shared" si="20"/>
        <v>10</v>
      </c>
    </row>
    <row r="586" spans="1:8" x14ac:dyDescent="0.2">
      <c r="A586" s="2">
        <v>23255</v>
      </c>
      <c r="B586" s="3">
        <v>35.31</v>
      </c>
      <c r="C586" s="2">
        <v>23253</v>
      </c>
      <c r="D586" s="3">
        <v>72.5</v>
      </c>
      <c r="G586">
        <f t="shared" si="19"/>
        <v>10</v>
      </c>
      <c r="H586">
        <f t="shared" si="20"/>
        <v>10</v>
      </c>
    </row>
    <row r="587" spans="1:8" x14ac:dyDescent="0.2">
      <c r="A587" s="2">
        <v>23285</v>
      </c>
      <c r="B587" s="3">
        <v>35.31</v>
      </c>
      <c r="C587" s="2">
        <v>23284</v>
      </c>
      <c r="D587" s="3">
        <v>71.7</v>
      </c>
      <c r="G587">
        <f t="shared" si="19"/>
        <v>10</v>
      </c>
      <c r="H587">
        <f t="shared" si="20"/>
        <v>10</v>
      </c>
    </row>
    <row r="588" spans="1:8" x14ac:dyDescent="0.2">
      <c r="A588" s="2">
        <v>23316</v>
      </c>
      <c r="B588" s="3">
        <v>35.31</v>
      </c>
      <c r="C588" s="2">
        <v>23315</v>
      </c>
      <c r="D588" s="3">
        <v>74.010000000000005</v>
      </c>
      <c r="G588">
        <f t="shared" si="19"/>
        <v>10</v>
      </c>
      <c r="H588">
        <f t="shared" si="20"/>
        <v>10</v>
      </c>
    </row>
    <row r="589" spans="1:8" x14ac:dyDescent="0.2">
      <c r="A589" s="2">
        <v>23346</v>
      </c>
      <c r="B589" s="3">
        <v>35.31</v>
      </c>
      <c r="C589" s="2">
        <v>23344</v>
      </c>
      <c r="D589" s="3">
        <v>73.23</v>
      </c>
      <c r="G589">
        <f t="shared" si="19"/>
        <v>10</v>
      </c>
      <c r="H589">
        <f t="shared" si="20"/>
        <v>10</v>
      </c>
    </row>
    <row r="590" spans="1:8" x14ac:dyDescent="0.2">
      <c r="A590" s="2">
        <v>23377</v>
      </c>
      <c r="B590" s="3">
        <v>35.31</v>
      </c>
      <c r="C590" s="2">
        <v>23376</v>
      </c>
      <c r="D590" s="3">
        <v>75.02</v>
      </c>
      <c r="G590">
        <f t="shared" si="19"/>
        <v>10</v>
      </c>
      <c r="H590">
        <f t="shared" si="20"/>
        <v>10</v>
      </c>
    </row>
    <row r="591" spans="1:8" x14ac:dyDescent="0.2">
      <c r="A591" s="2">
        <v>23408</v>
      </c>
      <c r="B591" s="3">
        <v>35.31</v>
      </c>
      <c r="C591" s="2">
        <v>23407</v>
      </c>
      <c r="D591" s="3">
        <v>77.040000000000006</v>
      </c>
      <c r="G591">
        <f t="shared" si="19"/>
        <v>10</v>
      </c>
      <c r="H591">
        <f t="shared" si="20"/>
        <v>10</v>
      </c>
    </row>
    <row r="592" spans="1:8" x14ac:dyDescent="0.2">
      <c r="A592" s="2">
        <v>23437</v>
      </c>
      <c r="B592" s="3">
        <v>35.31</v>
      </c>
      <c r="C592" s="2">
        <v>23435</v>
      </c>
      <c r="D592" s="3">
        <v>77.8</v>
      </c>
      <c r="G592">
        <f t="shared" si="19"/>
        <v>10</v>
      </c>
      <c r="H592">
        <f t="shared" si="20"/>
        <v>10</v>
      </c>
    </row>
    <row r="593" spans="1:8" x14ac:dyDescent="0.2">
      <c r="A593" s="2">
        <v>23468</v>
      </c>
      <c r="B593" s="3">
        <v>35.31</v>
      </c>
      <c r="C593" s="2">
        <v>23467</v>
      </c>
      <c r="D593" s="3">
        <v>78.98</v>
      </c>
      <c r="G593">
        <f t="shared" si="19"/>
        <v>10</v>
      </c>
      <c r="H593">
        <f t="shared" si="20"/>
        <v>10</v>
      </c>
    </row>
    <row r="594" spans="1:8" x14ac:dyDescent="0.2">
      <c r="A594" s="2">
        <v>23498</v>
      </c>
      <c r="B594" s="3">
        <v>35.31</v>
      </c>
      <c r="C594" s="2">
        <v>23497</v>
      </c>
      <c r="D594" s="3">
        <v>79.459999999999994</v>
      </c>
      <c r="G594">
        <f t="shared" si="19"/>
        <v>10</v>
      </c>
      <c r="H594">
        <f t="shared" si="20"/>
        <v>10</v>
      </c>
    </row>
    <row r="595" spans="1:8" x14ac:dyDescent="0.2">
      <c r="A595" s="2">
        <v>23529</v>
      </c>
      <c r="B595" s="3">
        <v>35.31</v>
      </c>
      <c r="C595" s="2">
        <v>23525</v>
      </c>
      <c r="D595" s="3">
        <v>80.37</v>
      </c>
      <c r="G595">
        <f t="shared" si="19"/>
        <v>10</v>
      </c>
      <c r="H595">
        <f t="shared" si="20"/>
        <v>10</v>
      </c>
    </row>
    <row r="596" spans="1:8" x14ac:dyDescent="0.2">
      <c r="A596" s="2">
        <v>23559</v>
      </c>
      <c r="B596" s="3">
        <v>35.31</v>
      </c>
      <c r="C596" s="2">
        <v>23558</v>
      </c>
      <c r="D596" s="3">
        <v>81.69</v>
      </c>
      <c r="G596">
        <f t="shared" si="19"/>
        <v>10</v>
      </c>
      <c r="H596">
        <f t="shared" si="20"/>
        <v>10</v>
      </c>
    </row>
    <row r="597" spans="1:8" x14ac:dyDescent="0.2">
      <c r="A597" s="2">
        <v>23590</v>
      </c>
      <c r="B597" s="3">
        <v>35.31</v>
      </c>
      <c r="C597" s="2">
        <v>23589</v>
      </c>
      <c r="D597" s="3">
        <v>83.18</v>
      </c>
      <c r="G597">
        <f t="shared" si="19"/>
        <v>10</v>
      </c>
      <c r="H597">
        <f t="shared" si="20"/>
        <v>10</v>
      </c>
    </row>
    <row r="598" spans="1:8" x14ac:dyDescent="0.2">
      <c r="A598" s="2">
        <v>23621</v>
      </c>
      <c r="B598" s="3">
        <v>35.31</v>
      </c>
      <c r="C598" s="2">
        <v>23620</v>
      </c>
      <c r="D598" s="3">
        <v>81.83</v>
      </c>
      <c r="G598">
        <f t="shared" si="19"/>
        <v>10</v>
      </c>
      <c r="H598">
        <f t="shared" si="20"/>
        <v>10</v>
      </c>
    </row>
    <row r="599" spans="1:8" x14ac:dyDescent="0.2">
      <c r="A599" s="2">
        <v>23651</v>
      </c>
      <c r="B599" s="3">
        <v>35.31</v>
      </c>
      <c r="C599" s="2">
        <v>23650</v>
      </c>
      <c r="D599" s="3">
        <v>84.18</v>
      </c>
      <c r="G599">
        <f t="shared" si="19"/>
        <v>10</v>
      </c>
      <c r="H599">
        <f t="shared" si="20"/>
        <v>10</v>
      </c>
    </row>
    <row r="600" spans="1:8" x14ac:dyDescent="0.2">
      <c r="A600" s="2">
        <v>23682</v>
      </c>
      <c r="B600" s="3">
        <v>35.31</v>
      </c>
      <c r="C600" s="2">
        <v>23680</v>
      </c>
      <c r="D600" s="3">
        <v>84.86</v>
      </c>
      <c r="G600">
        <f t="shared" si="19"/>
        <v>10</v>
      </c>
      <c r="H600">
        <f t="shared" si="20"/>
        <v>10</v>
      </c>
    </row>
    <row r="601" spans="1:8" x14ac:dyDescent="0.2">
      <c r="A601" s="2">
        <v>23712</v>
      </c>
      <c r="B601" s="3">
        <v>35.31</v>
      </c>
      <c r="C601" s="2">
        <v>23711</v>
      </c>
      <c r="D601" s="3">
        <v>84.42</v>
      </c>
      <c r="G601">
        <f t="shared" si="19"/>
        <v>10</v>
      </c>
      <c r="H601">
        <f t="shared" si="20"/>
        <v>10</v>
      </c>
    </row>
    <row r="602" spans="1:8" x14ac:dyDescent="0.2">
      <c r="A602" s="2">
        <v>23743</v>
      </c>
      <c r="B602" s="3">
        <v>35.31</v>
      </c>
      <c r="C602" s="2">
        <v>23742</v>
      </c>
      <c r="D602" s="3">
        <v>84.75</v>
      </c>
      <c r="G602">
        <f t="shared" si="19"/>
        <v>10</v>
      </c>
      <c r="H602">
        <f t="shared" si="20"/>
        <v>10</v>
      </c>
    </row>
    <row r="603" spans="1:8" x14ac:dyDescent="0.2">
      <c r="A603" s="2">
        <v>23774</v>
      </c>
      <c r="B603" s="3">
        <v>35.31</v>
      </c>
      <c r="C603" s="2">
        <v>23771</v>
      </c>
      <c r="D603" s="3">
        <v>87.56</v>
      </c>
      <c r="G603">
        <f t="shared" si="19"/>
        <v>10</v>
      </c>
      <c r="H603">
        <f t="shared" si="20"/>
        <v>10</v>
      </c>
    </row>
    <row r="604" spans="1:8" x14ac:dyDescent="0.2">
      <c r="A604" s="2">
        <v>23802</v>
      </c>
      <c r="B604" s="3">
        <v>35.31</v>
      </c>
      <c r="C604" s="2">
        <v>23799</v>
      </c>
      <c r="D604" s="3">
        <v>87.43</v>
      </c>
      <c r="G604">
        <f t="shared" si="19"/>
        <v>10</v>
      </c>
      <c r="H604">
        <f t="shared" si="20"/>
        <v>10</v>
      </c>
    </row>
    <row r="605" spans="1:8" x14ac:dyDescent="0.2">
      <c r="A605" s="2">
        <v>23833</v>
      </c>
      <c r="B605" s="3">
        <v>35.31</v>
      </c>
      <c r="C605" s="2">
        <v>23832</v>
      </c>
      <c r="D605" s="3">
        <v>86.16</v>
      </c>
      <c r="G605">
        <f t="shared" si="19"/>
        <v>10</v>
      </c>
      <c r="H605">
        <f t="shared" si="20"/>
        <v>10</v>
      </c>
    </row>
    <row r="606" spans="1:8" x14ac:dyDescent="0.2">
      <c r="A606" s="2">
        <v>23863</v>
      </c>
      <c r="B606" s="3">
        <v>35.31</v>
      </c>
      <c r="C606" s="2">
        <v>23862</v>
      </c>
      <c r="D606" s="3">
        <v>89.11</v>
      </c>
      <c r="G606">
        <f t="shared" si="19"/>
        <v>10</v>
      </c>
      <c r="H606">
        <f t="shared" si="20"/>
        <v>10</v>
      </c>
    </row>
    <row r="607" spans="1:8" x14ac:dyDescent="0.2">
      <c r="A607" s="2">
        <v>23894</v>
      </c>
      <c r="B607" s="3">
        <v>35.31</v>
      </c>
      <c r="C607" s="2">
        <v>23890</v>
      </c>
      <c r="D607" s="3">
        <v>88.42</v>
      </c>
      <c r="G607">
        <f t="shared" si="19"/>
        <v>10</v>
      </c>
      <c r="H607">
        <f t="shared" si="20"/>
        <v>10</v>
      </c>
    </row>
    <row r="608" spans="1:8" x14ac:dyDescent="0.2">
      <c r="A608" s="2">
        <v>23924</v>
      </c>
      <c r="B608" s="3">
        <v>35.31</v>
      </c>
      <c r="C608" s="2">
        <v>23923</v>
      </c>
      <c r="D608" s="3">
        <v>84.12</v>
      </c>
      <c r="G608">
        <f t="shared" si="19"/>
        <v>10</v>
      </c>
      <c r="H608">
        <f t="shared" si="20"/>
        <v>10</v>
      </c>
    </row>
    <row r="609" spans="1:8" x14ac:dyDescent="0.2">
      <c r="A609" s="2">
        <v>23955</v>
      </c>
      <c r="B609" s="3">
        <v>35.31</v>
      </c>
      <c r="C609" s="2">
        <v>23953</v>
      </c>
      <c r="D609" s="3">
        <v>85.25</v>
      </c>
      <c r="G609">
        <f t="shared" si="19"/>
        <v>10</v>
      </c>
      <c r="H609">
        <f t="shared" si="20"/>
        <v>10</v>
      </c>
    </row>
    <row r="610" spans="1:8" x14ac:dyDescent="0.2">
      <c r="A610" s="2">
        <v>23986</v>
      </c>
      <c r="B610" s="3">
        <v>35.31</v>
      </c>
      <c r="C610" s="2">
        <v>23985</v>
      </c>
      <c r="D610" s="3">
        <v>87.17</v>
      </c>
      <c r="G610">
        <f t="shared" si="19"/>
        <v>10</v>
      </c>
      <c r="H610">
        <f t="shared" si="20"/>
        <v>10</v>
      </c>
    </row>
    <row r="611" spans="1:8" x14ac:dyDescent="0.2">
      <c r="A611" s="2">
        <v>24016</v>
      </c>
      <c r="B611" s="3">
        <v>35.31</v>
      </c>
      <c r="C611" s="2">
        <v>24015</v>
      </c>
      <c r="D611" s="3">
        <v>89.96</v>
      </c>
      <c r="G611">
        <f t="shared" si="19"/>
        <v>10</v>
      </c>
      <c r="H611">
        <f t="shared" si="20"/>
        <v>10</v>
      </c>
    </row>
    <row r="612" spans="1:8" x14ac:dyDescent="0.2">
      <c r="A612" s="2">
        <v>24047</v>
      </c>
      <c r="B612" s="3">
        <v>35.31</v>
      </c>
      <c r="C612" s="2">
        <v>24044</v>
      </c>
      <c r="D612" s="3">
        <v>92.42</v>
      </c>
      <c r="G612">
        <f t="shared" si="19"/>
        <v>10</v>
      </c>
      <c r="H612">
        <f t="shared" si="20"/>
        <v>10</v>
      </c>
    </row>
    <row r="613" spans="1:8" x14ac:dyDescent="0.2">
      <c r="A613" s="2">
        <v>24077</v>
      </c>
      <c r="B613" s="3">
        <v>35.31</v>
      </c>
      <c r="C613" s="2">
        <v>24076</v>
      </c>
      <c r="D613" s="3">
        <v>91.61</v>
      </c>
      <c r="G613">
        <f t="shared" si="19"/>
        <v>10</v>
      </c>
      <c r="H613">
        <f t="shared" si="20"/>
        <v>10</v>
      </c>
    </row>
    <row r="614" spans="1:8" x14ac:dyDescent="0.2">
      <c r="A614" s="2">
        <v>24108</v>
      </c>
      <c r="B614" s="3">
        <v>35.31</v>
      </c>
      <c r="C614" s="2">
        <v>24107</v>
      </c>
      <c r="D614" s="3">
        <v>92.43</v>
      </c>
      <c r="G614">
        <f t="shared" si="19"/>
        <v>10</v>
      </c>
      <c r="H614">
        <f t="shared" si="20"/>
        <v>10</v>
      </c>
    </row>
    <row r="615" spans="1:8" x14ac:dyDescent="0.2">
      <c r="A615" s="2">
        <v>24139</v>
      </c>
      <c r="B615" s="3">
        <v>35.31</v>
      </c>
      <c r="C615" s="2">
        <v>24138</v>
      </c>
      <c r="D615" s="3">
        <v>92.88</v>
      </c>
      <c r="G615">
        <f t="shared" si="19"/>
        <v>10</v>
      </c>
      <c r="H615">
        <f t="shared" si="20"/>
        <v>10</v>
      </c>
    </row>
    <row r="616" spans="1:8" x14ac:dyDescent="0.2">
      <c r="A616" s="2">
        <v>24167</v>
      </c>
      <c r="B616" s="3">
        <v>35.31</v>
      </c>
      <c r="C616" s="2">
        <v>24166</v>
      </c>
      <c r="D616" s="3">
        <v>91.22</v>
      </c>
      <c r="G616">
        <f t="shared" si="19"/>
        <v>10</v>
      </c>
      <c r="H616">
        <f t="shared" si="20"/>
        <v>10</v>
      </c>
    </row>
    <row r="617" spans="1:8" x14ac:dyDescent="0.2">
      <c r="A617" s="2">
        <v>24198</v>
      </c>
      <c r="B617" s="3">
        <v>35.31</v>
      </c>
      <c r="C617" s="2">
        <v>24197</v>
      </c>
      <c r="D617" s="3">
        <v>89.23</v>
      </c>
      <c r="G617">
        <f t="shared" si="19"/>
        <v>10</v>
      </c>
      <c r="H617">
        <f t="shared" si="20"/>
        <v>10</v>
      </c>
    </row>
    <row r="618" spans="1:8" x14ac:dyDescent="0.2">
      <c r="A618" s="2">
        <v>24228</v>
      </c>
      <c r="B618" s="3">
        <v>35.31</v>
      </c>
      <c r="C618" s="2">
        <v>24226</v>
      </c>
      <c r="D618" s="3">
        <v>91.06</v>
      </c>
      <c r="G618">
        <f t="shared" si="19"/>
        <v>10</v>
      </c>
      <c r="H618">
        <f t="shared" si="20"/>
        <v>10</v>
      </c>
    </row>
    <row r="619" spans="1:8" x14ac:dyDescent="0.2">
      <c r="A619" s="2">
        <v>24259</v>
      </c>
      <c r="B619" s="3">
        <v>35.31</v>
      </c>
      <c r="C619" s="2">
        <v>24258</v>
      </c>
      <c r="D619" s="3">
        <v>86.13</v>
      </c>
      <c r="G619">
        <f t="shared" si="19"/>
        <v>10</v>
      </c>
      <c r="H619">
        <f t="shared" si="20"/>
        <v>10</v>
      </c>
    </row>
    <row r="620" spans="1:8" x14ac:dyDescent="0.2">
      <c r="A620" s="2">
        <v>24289</v>
      </c>
      <c r="B620" s="3">
        <v>35.31</v>
      </c>
      <c r="C620" s="2">
        <v>24288</v>
      </c>
      <c r="D620" s="3">
        <v>84.74</v>
      </c>
      <c r="G620">
        <f t="shared" si="19"/>
        <v>10</v>
      </c>
      <c r="H620">
        <f t="shared" si="20"/>
        <v>10</v>
      </c>
    </row>
    <row r="621" spans="1:8" x14ac:dyDescent="0.2">
      <c r="A621" s="2">
        <v>24320</v>
      </c>
      <c r="B621" s="3">
        <v>35.31</v>
      </c>
      <c r="C621" s="2">
        <v>24317</v>
      </c>
      <c r="D621" s="3">
        <v>83.6</v>
      </c>
      <c r="G621">
        <f t="shared" si="19"/>
        <v>10</v>
      </c>
      <c r="H621">
        <f t="shared" si="20"/>
        <v>10</v>
      </c>
    </row>
    <row r="622" spans="1:8" x14ac:dyDescent="0.2">
      <c r="A622" s="2">
        <v>24351</v>
      </c>
      <c r="B622" s="3">
        <v>35.31</v>
      </c>
      <c r="C622" s="2">
        <v>24350</v>
      </c>
      <c r="D622" s="3">
        <v>77.099999999999994</v>
      </c>
      <c r="G622">
        <f t="shared" si="19"/>
        <v>10</v>
      </c>
      <c r="H622">
        <f t="shared" si="20"/>
        <v>10</v>
      </c>
    </row>
    <row r="623" spans="1:8" x14ac:dyDescent="0.2">
      <c r="A623" s="2">
        <v>24381</v>
      </c>
      <c r="B623" s="3">
        <v>35.31</v>
      </c>
      <c r="C623" s="2">
        <v>24380</v>
      </c>
      <c r="D623" s="3">
        <v>76.56</v>
      </c>
      <c r="G623">
        <f t="shared" si="19"/>
        <v>10</v>
      </c>
      <c r="H623">
        <f t="shared" si="20"/>
        <v>10</v>
      </c>
    </row>
    <row r="624" spans="1:8" x14ac:dyDescent="0.2">
      <c r="A624" s="2">
        <v>24412</v>
      </c>
      <c r="B624" s="3">
        <v>35.31</v>
      </c>
      <c r="C624" s="2">
        <v>24411</v>
      </c>
      <c r="D624" s="3">
        <v>80.2</v>
      </c>
      <c r="G624">
        <f t="shared" si="19"/>
        <v>10</v>
      </c>
      <c r="H624">
        <f t="shared" si="20"/>
        <v>10</v>
      </c>
    </row>
    <row r="625" spans="1:8" x14ac:dyDescent="0.2">
      <c r="A625" s="2">
        <v>24442</v>
      </c>
      <c r="B625" s="3">
        <v>35.31</v>
      </c>
      <c r="C625" s="2">
        <v>24441</v>
      </c>
      <c r="D625" s="3">
        <v>80.45</v>
      </c>
      <c r="G625">
        <f t="shared" si="19"/>
        <v>10</v>
      </c>
      <c r="H625">
        <f t="shared" si="20"/>
        <v>10</v>
      </c>
    </row>
    <row r="626" spans="1:8" x14ac:dyDescent="0.2">
      <c r="A626" s="2">
        <v>24473</v>
      </c>
      <c r="B626" s="3">
        <v>35.31</v>
      </c>
      <c r="C626" s="2">
        <v>24471</v>
      </c>
      <c r="D626" s="3">
        <v>80.33</v>
      </c>
      <c r="G626">
        <f t="shared" si="19"/>
        <v>10</v>
      </c>
      <c r="H626">
        <f t="shared" si="20"/>
        <v>10</v>
      </c>
    </row>
    <row r="627" spans="1:8" x14ac:dyDescent="0.2">
      <c r="A627" s="2">
        <v>24504</v>
      </c>
      <c r="B627" s="3">
        <v>35.31</v>
      </c>
      <c r="C627" s="2">
        <v>24503</v>
      </c>
      <c r="D627" s="3">
        <v>86.61</v>
      </c>
      <c r="G627">
        <f t="shared" si="19"/>
        <v>10</v>
      </c>
      <c r="H627">
        <f t="shared" si="20"/>
        <v>10</v>
      </c>
    </row>
    <row r="628" spans="1:8" x14ac:dyDescent="0.2">
      <c r="A628" s="2">
        <v>24532</v>
      </c>
      <c r="B628" s="3">
        <v>35.31</v>
      </c>
      <c r="C628" s="2">
        <v>24531</v>
      </c>
      <c r="D628" s="3">
        <v>86.78</v>
      </c>
      <c r="G628">
        <f t="shared" si="19"/>
        <v>10</v>
      </c>
      <c r="H628">
        <f t="shared" si="20"/>
        <v>10</v>
      </c>
    </row>
    <row r="629" spans="1:8" x14ac:dyDescent="0.2">
      <c r="A629" s="2">
        <v>24563</v>
      </c>
      <c r="B629" s="3">
        <v>35.31</v>
      </c>
      <c r="C629" s="2">
        <v>24562</v>
      </c>
      <c r="D629" s="3">
        <v>90.2</v>
      </c>
      <c r="G629">
        <f t="shared" si="19"/>
        <v>10</v>
      </c>
      <c r="H629">
        <f t="shared" si="20"/>
        <v>10</v>
      </c>
    </row>
    <row r="630" spans="1:8" x14ac:dyDescent="0.2">
      <c r="A630" s="2">
        <v>24593</v>
      </c>
      <c r="B630" s="3">
        <v>35.31</v>
      </c>
      <c r="C630" s="2">
        <v>24590</v>
      </c>
      <c r="D630" s="3">
        <v>94.01</v>
      </c>
      <c r="G630">
        <f t="shared" si="19"/>
        <v>10</v>
      </c>
      <c r="H630">
        <f t="shared" si="20"/>
        <v>10</v>
      </c>
    </row>
    <row r="631" spans="1:8" x14ac:dyDescent="0.2">
      <c r="A631" s="2">
        <v>24624</v>
      </c>
      <c r="B631" s="3">
        <v>35.31</v>
      </c>
      <c r="C631" s="2">
        <v>24623</v>
      </c>
      <c r="D631" s="3">
        <v>89.08</v>
      </c>
      <c r="G631">
        <f t="shared" si="19"/>
        <v>10</v>
      </c>
      <c r="H631">
        <f t="shared" si="20"/>
        <v>10</v>
      </c>
    </row>
    <row r="632" spans="1:8" x14ac:dyDescent="0.2">
      <c r="A632" s="2">
        <v>24654</v>
      </c>
      <c r="B632" s="3">
        <v>35.31</v>
      </c>
      <c r="C632" s="2">
        <v>24653</v>
      </c>
      <c r="D632" s="3">
        <v>90.64</v>
      </c>
      <c r="G632">
        <f t="shared" si="19"/>
        <v>10</v>
      </c>
      <c r="H632">
        <f t="shared" si="20"/>
        <v>10</v>
      </c>
    </row>
    <row r="633" spans="1:8" x14ac:dyDescent="0.2">
      <c r="A633" s="2">
        <v>24685</v>
      </c>
      <c r="B633" s="3">
        <v>35.31</v>
      </c>
      <c r="C633" s="2">
        <v>24684</v>
      </c>
      <c r="D633" s="3">
        <v>94.75</v>
      </c>
      <c r="G633">
        <f t="shared" si="19"/>
        <v>10</v>
      </c>
      <c r="H633">
        <f t="shared" si="20"/>
        <v>10</v>
      </c>
    </row>
    <row r="634" spans="1:8" x14ac:dyDescent="0.2">
      <c r="A634" s="2">
        <v>24716</v>
      </c>
      <c r="B634" s="3">
        <v>35.31</v>
      </c>
      <c r="C634" s="2">
        <v>24715</v>
      </c>
      <c r="D634" s="3">
        <v>93.64</v>
      </c>
      <c r="G634">
        <f t="shared" si="19"/>
        <v>10</v>
      </c>
      <c r="H634">
        <f t="shared" si="20"/>
        <v>10</v>
      </c>
    </row>
    <row r="635" spans="1:8" x14ac:dyDescent="0.2">
      <c r="A635" s="2">
        <v>24746</v>
      </c>
      <c r="B635" s="3">
        <v>35.31</v>
      </c>
      <c r="C635" s="2">
        <v>24744</v>
      </c>
      <c r="D635" s="3">
        <v>96.71</v>
      </c>
      <c r="G635">
        <f t="shared" si="19"/>
        <v>10</v>
      </c>
      <c r="H635">
        <f t="shared" si="20"/>
        <v>10</v>
      </c>
    </row>
    <row r="636" spans="1:8" x14ac:dyDescent="0.2">
      <c r="A636" s="2">
        <v>24777</v>
      </c>
      <c r="B636" s="3">
        <v>35.31</v>
      </c>
      <c r="C636" s="2">
        <v>24776</v>
      </c>
      <c r="D636" s="3">
        <v>93.3</v>
      </c>
      <c r="G636">
        <f t="shared" si="19"/>
        <v>10</v>
      </c>
      <c r="H636">
        <f t="shared" si="20"/>
        <v>10</v>
      </c>
    </row>
    <row r="637" spans="1:8" x14ac:dyDescent="0.2">
      <c r="A637" s="2">
        <v>24807</v>
      </c>
      <c r="B637" s="3">
        <v>35.31</v>
      </c>
      <c r="C637" s="2">
        <v>24806</v>
      </c>
      <c r="D637" s="3">
        <v>94</v>
      </c>
      <c r="G637">
        <f t="shared" si="19"/>
        <v>10</v>
      </c>
      <c r="H637">
        <f t="shared" si="20"/>
        <v>10</v>
      </c>
    </row>
    <row r="638" spans="1:8" x14ac:dyDescent="0.2">
      <c r="A638" s="2">
        <v>24838</v>
      </c>
      <c r="B638" s="3">
        <v>40.31</v>
      </c>
      <c r="C638" s="2">
        <v>24835</v>
      </c>
      <c r="D638" s="3">
        <v>96.47</v>
      </c>
      <c r="G638">
        <f t="shared" si="19"/>
        <v>10</v>
      </c>
      <c r="H638">
        <f t="shared" si="20"/>
        <v>10</v>
      </c>
    </row>
    <row r="639" spans="1:8" x14ac:dyDescent="0.2">
      <c r="A639" s="2">
        <v>24869</v>
      </c>
      <c r="B639" s="3">
        <v>40.31</v>
      </c>
      <c r="C639" s="2">
        <v>24868</v>
      </c>
      <c r="D639" s="3">
        <v>92.24</v>
      </c>
      <c r="G639">
        <f t="shared" si="19"/>
        <v>10</v>
      </c>
      <c r="H639">
        <f t="shared" si="20"/>
        <v>10</v>
      </c>
    </row>
    <row r="640" spans="1:8" x14ac:dyDescent="0.2">
      <c r="A640" s="2">
        <v>24898</v>
      </c>
      <c r="B640" s="3">
        <v>40.31</v>
      </c>
      <c r="C640" s="2">
        <v>24897</v>
      </c>
      <c r="D640" s="3">
        <v>89.36</v>
      </c>
      <c r="G640">
        <f t="shared" si="19"/>
        <v>10</v>
      </c>
      <c r="H640">
        <f t="shared" si="20"/>
        <v>10</v>
      </c>
    </row>
    <row r="641" spans="1:8" x14ac:dyDescent="0.2">
      <c r="A641" s="2">
        <v>24929</v>
      </c>
      <c r="B641" s="3">
        <v>39.1</v>
      </c>
      <c r="C641" s="2">
        <v>24926</v>
      </c>
      <c r="D641" s="3">
        <v>90.2</v>
      </c>
      <c r="G641">
        <f t="shared" si="19"/>
        <v>10</v>
      </c>
      <c r="H641">
        <f t="shared" si="20"/>
        <v>10</v>
      </c>
    </row>
    <row r="642" spans="1:8" x14ac:dyDescent="0.2">
      <c r="A642" s="2">
        <v>24959</v>
      </c>
      <c r="B642" s="3">
        <v>42</v>
      </c>
      <c r="C642" s="2">
        <v>24958</v>
      </c>
      <c r="D642" s="3">
        <v>97.46</v>
      </c>
      <c r="G642">
        <f t="shared" si="19"/>
        <v>10</v>
      </c>
      <c r="H642">
        <f t="shared" si="20"/>
        <v>10</v>
      </c>
    </row>
    <row r="643" spans="1:8" x14ac:dyDescent="0.2">
      <c r="A643" s="2">
        <v>24990</v>
      </c>
      <c r="B643" s="3">
        <v>40.950000000000003</v>
      </c>
      <c r="C643" s="2">
        <v>24989</v>
      </c>
      <c r="D643" s="3">
        <v>98.68</v>
      </c>
      <c r="G643">
        <f t="shared" ref="G643:G706" si="21">IF(AND(A643&gt;=DATE(1973,1,1), A643&lt;=DATE(1982,12,31)), 10000, 10)</f>
        <v>10</v>
      </c>
      <c r="H643">
        <f t="shared" ref="H643:H706" si="22">IF(AND(A643&gt;=DATE(1983,1,1), A643&lt;=DATE(2007,12,31)), 10000, 10)</f>
        <v>10</v>
      </c>
    </row>
    <row r="644" spans="1:8" x14ac:dyDescent="0.2">
      <c r="A644" s="2">
        <v>25020</v>
      </c>
      <c r="B644" s="3">
        <v>38.9</v>
      </c>
      <c r="C644" s="2">
        <v>25017</v>
      </c>
      <c r="D644" s="3">
        <v>99.58</v>
      </c>
      <c r="G644">
        <f t="shared" si="21"/>
        <v>10</v>
      </c>
      <c r="H644">
        <f t="shared" si="22"/>
        <v>10</v>
      </c>
    </row>
    <row r="645" spans="1:8" x14ac:dyDescent="0.2">
      <c r="A645" s="2">
        <v>25051</v>
      </c>
      <c r="B645" s="3">
        <v>39.85</v>
      </c>
      <c r="C645" s="2">
        <v>25049</v>
      </c>
      <c r="D645" s="3">
        <v>97.74</v>
      </c>
      <c r="G645">
        <f t="shared" si="21"/>
        <v>10</v>
      </c>
      <c r="H645">
        <f t="shared" si="22"/>
        <v>10</v>
      </c>
    </row>
    <row r="646" spans="1:8" x14ac:dyDescent="0.2">
      <c r="A646" s="2">
        <v>25082</v>
      </c>
      <c r="B646" s="3">
        <v>39.700000000000003</v>
      </c>
      <c r="C646" s="2">
        <v>25080</v>
      </c>
      <c r="D646" s="3">
        <v>98.86</v>
      </c>
      <c r="G646">
        <f t="shared" si="21"/>
        <v>10</v>
      </c>
      <c r="H646">
        <f t="shared" si="22"/>
        <v>10</v>
      </c>
    </row>
    <row r="647" spans="1:8" x14ac:dyDescent="0.2">
      <c r="A647" s="2">
        <v>25112</v>
      </c>
      <c r="B647" s="3">
        <v>39.200000000000003</v>
      </c>
      <c r="C647" s="2">
        <v>25111</v>
      </c>
      <c r="D647" s="3">
        <v>102.67</v>
      </c>
      <c r="G647">
        <f t="shared" si="21"/>
        <v>10</v>
      </c>
      <c r="H647">
        <f t="shared" si="22"/>
        <v>10</v>
      </c>
    </row>
    <row r="648" spans="1:8" x14ac:dyDescent="0.2">
      <c r="A648" s="2">
        <v>25143</v>
      </c>
      <c r="B648" s="3">
        <v>39.85</v>
      </c>
      <c r="C648" s="2">
        <v>25142</v>
      </c>
      <c r="D648" s="3">
        <v>103.41</v>
      </c>
      <c r="G648">
        <f t="shared" si="21"/>
        <v>10</v>
      </c>
      <c r="H648">
        <f t="shared" si="22"/>
        <v>10</v>
      </c>
    </row>
    <row r="649" spans="1:8" x14ac:dyDescent="0.2">
      <c r="A649" s="2">
        <v>25173</v>
      </c>
      <c r="B649" s="3">
        <v>41.95</v>
      </c>
      <c r="C649" s="2">
        <v>25171</v>
      </c>
      <c r="D649" s="3">
        <v>108.37</v>
      </c>
      <c r="G649">
        <f t="shared" si="21"/>
        <v>10</v>
      </c>
      <c r="H649">
        <f t="shared" si="22"/>
        <v>10</v>
      </c>
    </row>
    <row r="650" spans="1:8" x14ac:dyDescent="0.2">
      <c r="A650" s="2">
        <v>25204</v>
      </c>
      <c r="B650" s="3">
        <v>42.55</v>
      </c>
      <c r="C650" s="2">
        <v>25203</v>
      </c>
      <c r="D650" s="3">
        <v>103.86</v>
      </c>
      <c r="G650">
        <f t="shared" si="21"/>
        <v>10</v>
      </c>
      <c r="H650">
        <f t="shared" si="22"/>
        <v>10</v>
      </c>
    </row>
    <row r="651" spans="1:8" x14ac:dyDescent="0.2">
      <c r="A651" s="2">
        <v>25235</v>
      </c>
      <c r="B651" s="3">
        <v>42.78</v>
      </c>
      <c r="C651" s="2">
        <v>25234</v>
      </c>
      <c r="D651" s="3">
        <v>103.01</v>
      </c>
      <c r="G651">
        <f t="shared" si="21"/>
        <v>10</v>
      </c>
      <c r="H651">
        <f t="shared" si="22"/>
        <v>10</v>
      </c>
    </row>
    <row r="652" spans="1:8" x14ac:dyDescent="0.2">
      <c r="A652" s="2">
        <v>25263</v>
      </c>
      <c r="B652" s="3">
        <v>43.1</v>
      </c>
      <c r="C652" s="2">
        <v>25262</v>
      </c>
      <c r="D652" s="3">
        <v>98.13</v>
      </c>
      <c r="G652">
        <f t="shared" si="21"/>
        <v>10</v>
      </c>
      <c r="H652">
        <f t="shared" si="22"/>
        <v>10</v>
      </c>
    </row>
    <row r="653" spans="1:8" x14ac:dyDescent="0.2">
      <c r="A653" s="2">
        <v>25294</v>
      </c>
      <c r="B653" s="3">
        <v>43.6</v>
      </c>
      <c r="C653" s="2">
        <v>25290</v>
      </c>
      <c r="D653" s="3">
        <v>101.51</v>
      </c>
      <c r="G653">
        <f t="shared" si="21"/>
        <v>10</v>
      </c>
      <c r="H653">
        <f t="shared" si="22"/>
        <v>10</v>
      </c>
    </row>
    <row r="654" spans="1:8" x14ac:dyDescent="0.2">
      <c r="A654" s="2">
        <v>25324</v>
      </c>
      <c r="B654" s="3">
        <v>43.15</v>
      </c>
      <c r="C654" s="2">
        <v>25323</v>
      </c>
      <c r="D654" s="3">
        <v>103.69</v>
      </c>
      <c r="G654">
        <f t="shared" si="21"/>
        <v>10</v>
      </c>
      <c r="H654">
        <f t="shared" si="22"/>
        <v>10</v>
      </c>
    </row>
    <row r="655" spans="1:8" x14ac:dyDescent="0.2">
      <c r="A655" s="2">
        <v>25355</v>
      </c>
      <c r="B655" s="3">
        <v>41.23</v>
      </c>
      <c r="C655" s="2">
        <v>25352</v>
      </c>
      <c r="D655" s="3">
        <v>103.46</v>
      </c>
      <c r="G655">
        <f t="shared" si="21"/>
        <v>10</v>
      </c>
      <c r="H655">
        <f t="shared" si="22"/>
        <v>10</v>
      </c>
    </row>
    <row r="656" spans="1:8" x14ac:dyDescent="0.2">
      <c r="A656" s="2">
        <v>25385</v>
      </c>
      <c r="B656" s="3">
        <v>41.45</v>
      </c>
      <c r="C656" s="2">
        <v>25384</v>
      </c>
      <c r="D656" s="3">
        <v>97.71</v>
      </c>
      <c r="G656">
        <f t="shared" si="21"/>
        <v>10</v>
      </c>
      <c r="H656">
        <f t="shared" si="22"/>
        <v>10</v>
      </c>
    </row>
    <row r="657" spans="1:8" x14ac:dyDescent="0.2">
      <c r="A657" s="2">
        <v>25416</v>
      </c>
      <c r="B657" s="3">
        <v>40.950000000000003</v>
      </c>
      <c r="C657" s="2">
        <v>25415</v>
      </c>
      <c r="D657" s="3">
        <v>91.83</v>
      </c>
      <c r="G657">
        <f t="shared" si="21"/>
        <v>10</v>
      </c>
      <c r="H657">
        <f t="shared" si="22"/>
        <v>10</v>
      </c>
    </row>
    <row r="658" spans="1:8" x14ac:dyDescent="0.2">
      <c r="A658" s="2">
        <v>25447</v>
      </c>
      <c r="B658" s="3">
        <v>40.65</v>
      </c>
      <c r="C658" s="2">
        <v>25444</v>
      </c>
      <c r="D658" s="3">
        <v>95.51</v>
      </c>
      <c r="G658">
        <f t="shared" si="21"/>
        <v>10</v>
      </c>
      <c r="H658">
        <f t="shared" si="22"/>
        <v>10</v>
      </c>
    </row>
    <row r="659" spans="1:8" x14ac:dyDescent="0.2">
      <c r="A659" s="2">
        <v>25477</v>
      </c>
      <c r="B659" s="3">
        <v>39.85</v>
      </c>
      <c r="C659" s="2">
        <v>25476</v>
      </c>
      <c r="D659" s="3">
        <v>93.12</v>
      </c>
      <c r="G659">
        <f t="shared" si="21"/>
        <v>10</v>
      </c>
      <c r="H659">
        <f t="shared" si="22"/>
        <v>10</v>
      </c>
    </row>
    <row r="660" spans="1:8" x14ac:dyDescent="0.2">
      <c r="A660" s="2">
        <v>25508</v>
      </c>
      <c r="B660" s="3">
        <v>35.549999999999997</v>
      </c>
      <c r="C660" s="2">
        <v>25507</v>
      </c>
      <c r="D660" s="3">
        <v>97.12</v>
      </c>
      <c r="G660">
        <f t="shared" si="21"/>
        <v>10</v>
      </c>
      <c r="H660">
        <f t="shared" si="22"/>
        <v>10</v>
      </c>
    </row>
    <row r="661" spans="1:8" x14ac:dyDescent="0.2">
      <c r="A661" s="2">
        <v>25538</v>
      </c>
      <c r="B661" s="3">
        <v>35.21</v>
      </c>
      <c r="C661" s="2">
        <v>25535</v>
      </c>
      <c r="D661" s="3">
        <v>93.81</v>
      </c>
      <c r="G661">
        <f t="shared" si="21"/>
        <v>10</v>
      </c>
      <c r="H661">
        <f t="shared" si="22"/>
        <v>10</v>
      </c>
    </row>
    <row r="662" spans="1:8" x14ac:dyDescent="0.2">
      <c r="A662" s="2">
        <v>25569</v>
      </c>
      <c r="B662" s="3">
        <v>34.979999999999997</v>
      </c>
      <c r="C662" s="2">
        <v>25568</v>
      </c>
      <c r="D662" s="3">
        <v>92.06</v>
      </c>
      <c r="G662">
        <f t="shared" si="21"/>
        <v>10</v>
      </c>
      <c r="H662">
        <f t="shared" si="22"/>
        <v>10</v>
      </c>
    </row>
    <row r="663" spans="1:8" x14ac:dyDescent="0.2">
      <c r="A663" s="2">
        <v>25600</v>
      </c>
      <c r="B663" s="3">
        <v>35</v>
      </c>
      <c r="C663" s="2">
        <v>25598</v>
      </c>
      <c r="D663" s="3">
        <v>85.02</v>
      </c>
      <c r="G663">
        <f t="shared" si="21"/>
        <v>10</v>
      </c>
      <c r="H663">
        <f t="shared" si="22"/>
        <v>10</v>
      </c>
    </row>
    <row r="664" spans="1:8" x14ac:dyDescent="0.2">
      <c r="A664" s="2">
        <v>25628</v>
      </c>
      <c r="B664" s="3">
        <v>35.299999999999997</v>
      </c>
      <c r="C664" s="2">
        <v>25626</v>
      </c>
      <c r="D664" s="3">
        <v>89.5</v>
      </c>
      <c r="G664">
        <f t="shared" si="21"/>
        <v>10</v>
      </c>
      <c r="H664">
        <f t="shared" si="22"/>
        <v>10</v>
      </c>
    </row>
    <row r="665" spans="1:8" x14ac:dyDescent="0.2">
      <c r="A665" s="2">
        <v>25659</v>
      </c>
      <c r="B665" s="3">
        <v>35.85</v>
      </c>
      <c r="C665" s="2">
        <v>25658</v>
      </c>
      <c r="D665" s="3">
        <v>89.63</v>
      </c>
      <c r="G665">
        <f t="shared" si="21"/>
        <v>10</v>
      </c>
      <c r="H665">
        <f t="shared" si="22"/>
        <v>10</v>
      </c>
    </row>
    <row r="666" spans="1:8" x14ac:dyDescent="0.2">
      <c r="A666" s="2">
        <v>25689</v>
      </c>
      <c r="B666" s="3">
        <v>35.5</v>
      </c>
      <c r="C666" s="2">
        <v>25688</v>
      </c>
      <c r="D666" s="3">
        <v>81.52</v>
      </c>
      <c r="G666">
        <f t="shared" si="21"/>
        <v>10</v>
      </c>
      <c r="H666">
        <f t="shared" si="22"/>
        <v>10</v>
      </c>
    </row>
    <row r="667" spans="1:8" x14ac:dyDescent="0.2">
      <c r="A667" s="2">
        <v>25720</v>
      </c>
      <c r="B667" s="3">
        <v>35.51</v>
      </c>
      <c r="C667" s="2">
        <v>25717</v>
      </c>
      <c r="D667" s="3">
        <v>76.55</v>
      </c>
      <c r="G667">
        <f t="shared" si="21"/>
        <v>10</v>
      </c>
      <c r="H667">
        <f t="shared" si="22"/>
        <v>10</v>
      </c>
    </row>
    <row r="668" spans="1:8" x14ac:dyDescent="0.2">
      <c r="A668" s="2">
        <v>25750</v>
      </c>
      <c r="B668" s="3">
        <v>35.29</v>
      </c>
      <c r="C668" s="2">
        <v>25749</v>
      </c>
      <c r="D668" s="3">
        <v>72.72</v>
      </c>
      <c r="G668">
        <f t="shared" si="21"/>
        <v>10</v>
      </c>
      <c r="H668">
        <f t="shared" si="22"/>
        <v>10</v>
      </c>
    </row>
    <row r="669" spans="1:8" x14ac:dyDescent="0.2">
      <c r="A669" s="2">
        <v>25781</v>
      </c>
      <c r="B669" s="3">
        <v>35.78</v>
      </c>
      <c r="C669" s="2">
        <v>25780</v>
      </c>
      <c r="D669" s="3">
        <v>78.05</v>
      </c>
      <c r="G669">
        <f t="shared" si="21"/>
        <v>10</v>
      </c>
      <c r="H669">
        <f t="shared" si="22"/>
        <v>10</v>
      </c>
    </row>
    <row r="670" spans="1:8" x14ac:dyDescent="0.2">
      <c r="A670" s="2">
        <v>25812</v>
      </c>
      <c r="B670" s="3">
        <v>36.24</v>
      </c>
      <c r="C670" s="2">
        <v>25811</v>
      </c>
      <c r="D670" s="3">
        <v>81.52</v>
      </c>
      <c r="G670">
        <f t="shared" si="21"/>
        <v>10</v>
      </c>
      <c r="H670">
        <f t="shared" si="22"/>
        <v>10</v>
      </c>
    </row>
    <row r="671" spans="1:8" x14ac:dyDescent="0.2">
      <c r="A671" s="2">
        <v>25842</v>
      </c>
      <c r="B671" s="3">
        <v>37.4</v>
      </c>
      <c r="C671" s="2">
        <v>25841</v>
      </c>
      <c r="D671" s="3">
        <v>84.3</v>
      </c>
      <c r="G671">
        <f t="shared" si="21"/>
        <v>10</v>
      </c>
      <c r="H671">
        <f t="shared" si="22"/>
        <v>10</v>
      </c>
    </row>
    <row r="672" spans="1:8" x14ac:dyDescent="0.2">
      <c r="A672" s="2">
        <v>25873</v>
      </c>
      <c r="B672" s="3">
        <v>37.6</v>
      </c>
      <c r="C672" s="2">
        <v>25871</v>
      </c>
      <c r="D672" s="3">
        <v>83.25</v>
      </c>
      <c r="G672">
        <f t="shared" si="21"/>
        <v>10</v>
      </c>
      <c r="H672">
        <f t="shared" si="22"/>
        <v>10</v>
      </c>
    </row>
    <row r="673" spans="1:8" x14ac:dyDescent="0.2">
      <c r="A673" s="2">
        <v>25903</v>
      </c>
      <c r="B673" s="3">
        <v>37.380000000000003</v>
      </c>
      <c r="C673" s="2">
        <v>25902</v>
      </c>
      <c r="D673" s="3">
        <v>87.2</v>
      </c>
      <c r="G673">
        <f t="shared" si="21"/>
        <v>10</v>
      </c>
      <c r="H673">
        <f t="shared" si="22"/>
        <v>10</v>
      </c>
    </row>
    <row r="674" spans="1:8" x14ac:dyDescent="0.2">
      <c r="A674" s="2">
        <v>25934</v>
      </c>
      <c r="B674" s="3">
        <v>38</v>
      </c>
      <c r="C674" s="2">
        <v>25933</v>
      </c>
      <c r="D674" s="3">
        <v>92.15</v>
      </c>
      <c r="G674">
        <f t="shared" si="21"/>
        <v>10</v>
      </c>
      <c r="H674">
        <f t="shared" si="22"/>
        <v>10</v>
      </c>
    </row>
    <row r="675" spans="1:8" x14ac:dyDescent="0.2">
      <c r="A675" s="2">
        <v>25965</v>
      </c>
      <c r="B675" s="3">
        <v>38.79</v>
      </c>
      <c r="C675" s="2">
        <v>25962</v>
      </c>
      <c r="D675" s="3">
        <v>95.88</v>
      </c>
      <c r="G675">
        <f t="shared" si="21"/>
        <v>10</v>
      </c>
      <c r="H675">
        <f t="shared" si="22"/>
        <v>10</v>
      </c>
    </row>
    <row r="676" spans="1:8" x14ac:dyDescent="0.2">
      <c r="A676" s="2">
        <v>25993</v>
      </c>
      <c r="B676" s="3">
        <v>38.799999999999997</v>
      </c>
      <c r="C676" s="2">
        <v>25990</v>
      </c>
      <c r="D676" s="3">
        <v>96.75</v>
      </c>
      <c r="G676">
        <f t="shared" si="21"/>
        <v>10</v>
      </c>
      <c r="H676">
        <f t="shared" si="22"/>
        <v>10</v>
      </c>
    </row>
    <row r="677" spans="1:8" x14ac:dyDescent="0.2">
      <c r="A677" s="2">
        <v>26024</v>
      </c>
      <c r="B677" s="3">
        <v>39.6</v>
      </c>
      <c r="C677" s="2">
        <v>26023</v>
      </c>
      <c r="D677" s="3">
        <v>100.31</v>
      </c>
      <c r="G677">
        <f t="shared" si="21"/>
        <v>10</v>
      </c>
      <c r="H677">
        <f t="shared" si="22"/>
        <v>10</v>
      </c>
    </row>
    <row r="678" spans="1:8" x14ac:dyDescent="0.2">
      <c r="A678" s="2">
        <v>26054</v>
      </c>
      <c r="B678" s="3">
        <v>40.799999999999997</v>
      </c>
      <c r="C678" s="2">
        <v>26053</v>
      </c>
      <c r="D678" s="3">
        <v>103.95</v>
      </c>
      <c r="G678">
        <f t="shared" si="21"/>
        <v>10</v>
      </c>
      <c r="H678">
        <f t="shared" si="22"/>
        <v>10</v>
      </c>
    </row>
    <row r="679" spans="1:8" x14ac:dyDescent="0.2">
      <c r="A679" s="2">
        <v>26085</v>
      </c>
      <c r="B679" s="3">
        <v>40.200000000000003</v>
      </c>
      <c r="C679" s="2">
        <v>26081</v>
      </c>
      <c r="D679" s="3">
        <v>99.63</v>
      </c>
      <c r="G679">
        <f t="shared" si="21"/>
        <v>10</v>
      </c>
      <c r="H679">
        <f t="shared" si="22"/>
        <v>10</v>
      </c>
    </row>
    <row r="680" spans="1:8" x14ac:dyDescent="0.2">
      <c r="A680" s="2">
        <v>26115</v>
      </c>
      <c r="B680" s="3">
        <v>42.48</v>
      </c>
      <c r="C680" s="2">
        <v>26114</v>
      </c>
      <c r="D680" s="3">
        <v>98.7</v>
      </c>
      <c r="G680">
        <f t="shared" si="21"/>
        <v>10</v>
      </c>
      <c r="H680">
        <f t="shared" si="22"/>
        <v>10</v>
      </c>
    </row>
    <row r="681" spans="1:8" x14ac:dyDescent="0.2">
      <c r="A681" s="2">
        <v>26146</v>
      </c>
      <c r="B681" s="3">
        <v>41</v>
      </c>
      <c r="C681" s="2">
        <v>26144</v>
      </c>
      <c r="D681" s="3">
        <v>95.58</v>
      </c>
      <c r="G681">
        <f t="shared" si="21"/>
        <v>10</v>
      </c>
      <c r="H681">
        <f t="shared" si="22"/>
        <v>10</v>
      </c>
    </row>
    <row r="682" spans="1:8" x14ac:dyDescent="0.2">
      <c r="A682" s="2">
        <v>26177</v>
      </c>
      <c r="B682" s="3">
        <v>42.48</v>
      </c>
      <c r="C682" s="2">
        <v>26176</v>
      </c>
      <c r="D682" s="3">
        <v>99.03</v>
      </c>
      <c r="G682">
        <f t="shared" si="21"/>
        <v>10</v>
      </c>
      <c r="H682">
        <f t="shared" si="22"/>
        <v>10</v>
      </c>
    </row>
    <row r="683" spans="1:8" x14ac:dyDescent="0.2">
      <c r="A683" s="2">
        <v>26207</v>
      </c>
      <c r="B683" s="3">
        <v>42.4</v>
      </c>
      <c r="C683" s="2">
        <v>26206</v>
      </c>
      <c r="D683" s="3">
        <v>98.34</v>
      </c>
      <c r="G683">
        <f t="shared" si="21"/>
        <v>10</v>
      </c>
      <c r="H683">
        <f t="shared" si="22"/>
        <v>10</v>
      </c>
    </row>
    <row r="684" spans="1:8" x14ac:dyDescent="0.2">
      <c r="A684" s="2">
        <v>26238</v>
      </c>
      <c r="B684" s="3">
        <v>43.55</v>
      </c>
      <c r="C684" s="2">
        <v>26235</v>
      </c>
      <c r="D684" s="3">
        <v>94.23</v>
      </c>
      <c r="G684">
        <f t="shared" si="21"/>
        <v>10</v>
      </c>
      <c r="H684">
        <f t="shared" si="22"/>
        <v>10</v>
      </c>
    </row>
    <row r="685" spans="1:8" x14ac:dyDescent="0.2">
      <c r="A685" s="2">
        <v>26268</v>
      </c>
      <c r="B685" s="3">
        <v>43.5</v>
      </c>
      <c r="C685" s="2">
        <v>26267</v>
      </c>
      <c r="D685" s="3">
        <v>93.99</v>
      </c>
      <c r="G685">
        <f t="shared" si="21"/>
        <v>10</v>
      </c>
      <c r="H685">
        <f t="shared" si="22"/>
        <v>10</v>
      </c>
    </row>
    <row r="686" spans="1:8" x14ac:dyDescent="0.2">
      <c r="A686" s="2">
        <v>26299</v>
      </c>
      <c r="B686" s="3">
        <v>46.95</v>
      </c>
      <c r="C686" s="2">
        <v>26298</v>
      </c>
      <c r="D686" s="3">
        <v>102.09</v>
      </c>
      <c r="G686">
        <f t="shared" si="21"/>
        <v>10</v>
      </c>
      <c r="H686">
        <f t="shared" si="22"/>
        <v>10</v>
      </c>
    </row>
    <row r="687" spans="1:8" x14ac:dyDescent="0.2">
      <c r="A687" s="2">
        <v>26330</v>
      </c>
      <c r="B687" s="3">
        <v>48.4</v>
      </c>
      <c r="C687" s="2">
        <v>26329</v>
      </c>
      <c r="D687" s="3">
        <v>103.94</v>
      </c>
      <c r="G687">
        <f t="shared" si="21"/>
        <v>10</v>
      </c>
      <c r="H687">
        <f t="shared" si="22"/>
        <v>10</v>
      </c>
    </row>
    <row r="688" spans="1:8" x14ac:dyDescent="0.2">
      <c r="A688" s="2">
        <v>26359</v>
      </c>
      <c r="B688" s="3">
        <v>48.38</v>
      </c>
      <c r="C688" s="2">
        <v>26358</v>
      </c>
      <c r="D688" s="3">
        <v>106.57</v>
      </c>
      <c r="G688">
        <f t="shared" si="21"/>
        <v>10</v>
      </c>
      <c r="H688">
        <f t="shared" si="22"/>
        <v>10</v>
      </c>
    </row>
    <row r="689" spans="1:8" x14ac:dyDescent="0.2">
      <c r="A689" s="2">
        <v>26390</v>
      </c>
      <c r="B689" s="3">
        <v>49.5</v>
      </c>
      <c r="C689" s="2">
        <v>26388</v>
      </c>
      <c r="D689" s="3">
        <v>107.2</v>
      </c>
      <c r="G689">
        <f t="shared" si="21"/>
        <v>10</v>
      </c>
      <c r="H689">
        <f t="shared" si="22"/>
        <v>10</v>
      </c>
    </row>
    <row r="690" spans="1:8" x14ac:dyDescent="0.2">
      <c r="A690" s="2">
        <v>26420</v>
      </c>
      <c r="B690" s="3">
        <v>59.3</v>
      </c>
      <c r="C690" s="2">
        <v>26417</v>
      </c>
      <c r="D690" s="3">
        <v>107.67</v>
      </c>
      <c r="G690">
        <f t="shared" si="21"/>
        <v>10</v>
      </c>
      <c r="H690">
        <f t="shared" si="22"/>
        <v>10</v>
      </c>
    </row>
    <row r="691" spans="1:8" x14ac:dyDescent="0.2">
      <c r="A691" s="2">
        <v>26451</v>
      </c>
      <c r="B691" s="3">
        <v>64.099999999999994</v>
      </c>
      <c r="C691" s="2">
        <v>26450</v>
      </c>
      <c r="D691" s="3">
        <v>109.53</v>
      </c>
      <c r="G691">
        <f t="shared" si="21"/>
        <v>10</v>
      </c>
      <c r="H691">
        <f t="shared" si="22"/>
        <v>10</v>
      </c>
    </row>
    <row r="692" spans="1:8" x14ac:dyDescent="0.2">
      <c r="A692" s="2">
        <v>26481</v>
      </c>
      <c r="B692" s="3">
        <v>68.900000000000006</v>
      </c>
      <c r="C692" s="2">
        <v>26480</v>
      </c>
      <c r="D692" s="3">
        <v>107.14</v>
      </c>
      <c r="G692">
        <f t="shared" si="21"/>
        <v>10</v>
      </c>
      <c r="H692">
        <f t="shared" si="22"/>
        <v>10</v>
      </c>
    </row>
    <row r="693" spans="1:8" x14ac:dyDescent="0.2">
      <c r="A693" s="2">
        <v>26512</v>
      </c>
      <c r="B693" s="3">
        <v>66.8</v>
      </c>
      <c r="C693" s="2">
        <v>26511</v>
      </c>
      <c r="D693" s="3">
        <v>107.39</v>
      </c>
      <c r="G693">
        <f t="shared" si="21"/>
        <v>10</v>
      </c>
      <c r="H693">
        <f t="shared" si="22"/>
        <v>10</v>
      </c>
    </row>
    <row r="694" spans="1:8" x14ac:dyDescent="0.2">
      <c r="A694" s="2">
        <v>26543</v>
      </c>
      <c r="B694" s="3">
        <v>64.099999999999994</v>
      </c>
      <c r="C694" s="2">
        <v>26542</v>
      </c>
      <c r="D694" s="3">
        <v>111.09</v>
      </c>
      <c r="G694">
        <f t="shared" si="21"/>
        <v>10</v>
      </c>
      <c r="H694">
        <f t="shared" si="22"/>
        <v>10</v>
      </c>
    </row>
    <row r="695" spans="1:8" x14ac:dyDescent="0.2">
      <c r="A695" s="2">
        <v>26573</v>
      </c>
      <c r="B695" s="3">
        <v>64.430000000000007</v>
      </c>
      <c r="C695" s="2">
        <v>26571</v>
      </c>
      <c r="D695" s="3">
        <v>110.55</v>
      </c>
      <c r="G695">
        <f t="shared" si="21"/>
        <v>10</v>
      </c>
      <c r="H695">
        <f t="shared" si="22"/>
        <v>10</v>
      </c>
    </row>
    <row r="696" spans="1:8" x14ac:dyDescent="0.2">
      <c r="A696" s="2">
        <v>26604</v>
      </c>
      <c r="B696" s="3">
        <v>63.6</v>
      </c>
      <c r="C696" s="2">
        <v>26603</v>
      </c>
      <c r="D696" s="3">
        <v>111.58</v>
      </c>
      <c r="G696">
        <f t="shared" si="21"/>
        <v>10</v>
      </c>
      <c r="H696">
        <f t="shared" si="22"/>
        <v>10</v>
      </c>
    </row>
    <row r="697" spans="1:8" x14ac:dyDescent="0.2">
      <c r="A697" s="2">
        <v>26634</v>
      </c>
      <c r="B697" s="3">
        <v>64.7</v>
      </c>
      <c r="C697" s="2">
        <v>26633</v>
      </c>
      <c r="D697" s="3">
        <v>116.67</v>
      </c>
      <c r="G697">
        <f t="shared" si="21"/>
        <v>10</v>
      </c>
      <c r="H697">
        <f t="shared" si="22"/>
        <v>10</v>
      </c>
    </row>
    <row r="698" spans="1:8" x14ac:dyDescent="0.2">
      <c r="A698" s="2">
        <v>26665</v>
      </c>
      <c r="B698" s="3">
        <v>66</v>
      </c>
      <c r="C698" s="2">
        <v>26662</v>
      </c>
      <c r="D698" s="3">
        <v>118.05</v>
      </c>
      <c r="G698">
        <f t="shared" si="21"/>
        <v>10000</v>
      </c>
      <c r="H698">
        <f t="shared" si="22"/>
        <v>10</v>
      </c>
    </row>
    <row r="699" spans="1:8" x14ac:dyDescent="0.2">
      <c r="A699" s="2">
        <v>26696</v>
      </c>
      <c r="B699" s="3">
        <v>85.3</v>
      </c>
      <c r="C699" s="2">
        <v>26695</v>
      </c>
      <c r="D699" s="3">
        <v>116.03</v>
      </c>
      <c r="G699">
        <f t="shared" si="21"/>
        <v>10000</v>
      </c>
      <c r="H699">
        <f t="shared" si="22"/>
        <v>10</v>
      </c>
    </row>
    <row r="700" spans="1:8" x14ac:dyDescent="0.2">
      <c r="A700" s="2">
        <v>26724</v>
      </c>
      <c r="B700" s="3">
        <v>90.25</v>
      </c>
      <c r="C700" s="2">
        <v>26723</v>
      </c>
      <c r="D700" s="3">
        <v>111.68</v>
      </c>
      <c r="G700">
        <f t="shared" si="21"/>
        <v>10000</v>
      </c>
      <c r="H700">
        <f t="shared" si="22"/>
        <v>10</v>
      </c>
    </row>
    <row r="701" spans="1:8" x14ac:dyDescent="0.2">
      <c r="A701" s="2">
        <v>26755</v>
      </c>
      <c r="B701" s="3">
        <v>90.7</v>
      </c>
      <c r="C701" s="2">
        <v>26753</v>
      </c>
      <c r="D701" s="3">
        <v>111.52</v>
      </c>
      <c r="G701">
        <f t="shared" si="21"/>
        <v>10000</v>
      </c>
      <c r="H701">
        <f t="shared" si="22"/>
        <v>10</v>
      </c>
    </row>
    <row r="702" spans="1:8" x14ac:dyDescent="0.2">
      <c r="A702" s="2">
        <v>26785</v>
      </c>
      <c r="B702" s="3">
        <v>114.5</v>
      </c>
      <c r="C702" s="2">
        <v>26784</v>
      </c>
      <c r="D702" s="3">
        <v>106.97</v>
      </c>
      <c r="G702">
        <f t="shared" si="21"/>
        <v>10000</v>
      </c>
      <c r="H702">
        <f t="shared" si="22"/>
        <v>10</v>
      </c>
    </row>
    <row r="703" spans="1:8" x14ac:dyDescent="0.2">
      <c r="A703" s="2">
        <v>26816</v>
      </c>
      <c r="B703" s="3">
        <v>123.5</v>
      </c>
      <c r="C703" s="2">
        <v>26815</v>
      </c>
      <c r="D703" s="3">
        <v>104.95</v>
      </c>
      <c r="G703">
        <f t="shared" si="21"/>
        <v>10000</v>
      </c>
      <c r="H703">
        <f t="shared" si="22"/>
        <v>10</v>
      </c>
    </row>
    <row r="704" spans="1:8" x14ac:dyDescent="0.2">
      <c r="A704" s="2">
        <v>26846</v>
      </c>
      <c r="B704" s="3">
        <v>115.2</v>
      </c>
      <c r="C704" s="2">
        <v>26844</v>
      </c>
      <c r="D704" s="3">
        <v>104.26</v>
      </c>
      <c r="G704">
        <f t="shared" si="21"/>
        <v>10000</v>
      </c>
      <c r="H704">
        <f t="shared" si="22"/>
        <v>10</v>
      </c>
    </row>
    <row r="705" spans="1:8" x14ac:dyDescent="0.2">
      <c r="A705" s="2">
        <v>26877</v>
      </c>
      <c r="B705" s="3">
        <v>104</v>
      </c>
      <c r="C705" s="2">
        <v>26876</v>
      </c>
      <c r="D705" s="3">
        <v>108.22</v>
      </c>
      <c r="G705">
        <f t="shared" si="21"/>
        <v>10000</v>
      </c>
      <c r="H705">
        <f t="shared" si="22"/>
        <v>10</v>
      </c>
    </row>
    <row r="706" spans="1:8" x14ac:dyDescent="0.2">
      <c r="A706" s="2">
        <v>26908</v>
      </c>
      <c r="B706" s="3">
        <v>100.25</v>
      </c>
      <c r="C706" s="2">
        <v>26907</v>
      </c>
      <c r="D706" s="3">
        <v>104.25</v>
      </c>
      <c r="G706">
        <f t="shared" si="21"/>
        <v>10000</v>
      </c>
      <c r="H706">
        <f t="shared" si="22"/>
        <v>10</v>
      </c>
    </row>
    <row r="707" spans="1:8" x14ac:dyDescent="0.2">
      <c r="A707" s="2">
        <v>26938</v>
      </c>
      <c r="B707" s="3">
        <v>97.25</v>
      </c>
      <c r="C707" s="2">
        <v>26935</v>
      </c>
      <c r="D707" s="3">
        <v>108.43</v>
      </c>
      <c r="G707">
        <f t="shared" ref="G707:G770" si="23">IF(AND(A707&gt;=DATE(1973,1,1), A707&lt;=DATE(1982,12,31)), 10000, 10)</f>
        <v>10000</v>
      </c>
      <c r="H707">
        <f t="shared" ref="H707:H770" si="24">IF(AND(A707&gt;=DATE(1983,1,1), A707&lt;=DATE(2007,12,31)), 10000, 10)</f>
        <v>10</v>
      </c>
    </row>
    <row r="708" spans="1:8" x14ac:dyDescent="0.2">
      <c r="A708" s="2">
        <v>26969</v>
      </c>
      <c r="B708" s="3">
        <v>100.25</v>
      </c>
      <c r="C708" s="2">
        <v>26968</v>
      </c>
      <c r="D708" s="3">
        <v>108.29</v>
      </c>
      <c r="G708">
        <f t="shared" si="23"/>
        <v>10000</v>
      </c>
      <c r="H708">
        <f t="shared" si="24"/>
        <v>10</v>
      </c>
    </row>
    <row r="709" spans="1:8" x14ac:dyDescent="0.2">
      <c r="A709" s="2">
        <v>26999</v>
      </c>
      <c r="B709" s="3">
        <v>112.25</v>
      </c>
      <c r="C709" s="2">
        <v>26998</v>
      </c>
      <c r="D709" s="3">
        <v>95.96</v>
      </c>
      <c r="G709">
        <f t="shared" si="23"/>
        <v>10000</v>
      </c>
      <c r="H709">
        <f t="shared" si="24"/>
        <v>10</v>
      </c>
    </row>
    <row r="710" spans="1:8" x14ac:dyDescent="0.2">
      <c r="A710" s="2">
        <v>27030</v>
      </c>
      <c r="B710" s="3">
        <v>133.25</v>
      </c>
      <c r="C710" s="2">
        <v>27029</v>
      </c>
      <c r="D710" s="3">
        <v>97.55</v>
      </c>
      <c r="G710">
        <f t="shared" si="23"/>
        <v>10000</v>
      </c>
      <c r="H710">
        <f t="shared" si="24"/>
        <v>10</v>
      </c>
    </row>
    <row r="711" spans="1:8" x14ac:dyDescent="0.2">
      <c r="A711" s="2">
        <v>27061</v>
      </c>
      <c r="B711" s="3">
        <v>169.5</v>
      </c>
      <c r="C711" s="2">
        <v>27060</v>
      </c>
      <c r="D711" s="3">
        <v>96.57</v>
      </c>
      <c r="G711">
        <f t="shared" si="23"/>
        <v>10000</v>
      </c>
      <c r="H711">
        <f t="shared" si="24"/>
        <v>10</v>
      </c>
    </row>
    <row r="712" spans="1:8" x14ac:dyDescent="0.2">
      <c r="A712" s="2">
        <v>27089</v>
      </c>
      <c r="B712" s="3">
        <v>173</v>
      </c>
      <c r="C712" s="2">
        <v>27088</v>
      </c>
      <c r="D712" s="3">
        <v>96.22</v>
      </c>
      <c r="G712">
        <f t="shared" si="23"/>
        <v>10000</v>
      </c>
      <c r="H712">
        <f t="shared" si="24"/>
        <v>10</v>
      </c>
    </row>
    <row r="713" spans="1:8" x14ac:dyDescent="0.2">
      <c r="A713" s="2">
        <v>27120</v>
      </c>
      <c r="B713" s="3">
        <v>168.5</v>
      </c>
      <c r="C713" s="2">
        <v>27117</v>
      </c>
      <c r="D713" s="3">
        <v>93.98</v>
      </c>
      <c r="G713">
        <f t="shared" si="23"/>
        <v>10000</v>
      </c>
      <c r="H713">
        <f t="shared" si="24"/>
        <v>10</v>
      </c>
    </row>
    <row r="714" spans="1:8" x14ac:dyDescent="0.2">
      <c r="A714" s="2">
        <v>27150</v>
      </c>
      <c r="B714" s="3">
        <v>156.5</v>
      </c>
      <c r="C714" s="2">
        <v>27149</v>
      </c>
      <c r="D714" s="3">
        <v>90.31</v>
      </c>
      <c r="G714">
        <f t="shared" si="23"/>
        <v>10000</v>
      </c>
      <c r="H714">
        <f t="shared" si="24"/>
        <v>10</v>
      </c>
    </row>
    <row r="715" spans="1:8" x14ac:dyDescent="0.2">
      <c r="A715" s="2">
        <v>27181</v>
      </c>
      <c r="B715" s="3">
        <v>146.75</v>
      </c>
      <c r="C715" s="2">
        <v>27180</v>
      </c>
      <c r="D715" s="3">
        <v>87.28</v>
      </c>
      <c r="G715">
        <f t="shared" si="23"/>
        <v>10000</v>
      </c>
      <c r="H715">
        <f t="shared" si="24"/>
        <v>10</v>
      </c>
    </row>
    <row r="716" spans="1:8" x14ac:dyDescent="0.2">
      <c r="A716" s="2">
        <v>27211</v>
      </c>
      <c r="B716" s="3">
        <v>154</v>
      </c>
      <c r="C716" s="2">
        <v>27208</v>
      </c>
      <c r="D716" s="3">
        <v>86</v>
      </c>
      <c r="G716">
        <f t="shared" si="23"/>
        <v>10000</v>
      </c>
      <c r="H716">
        <f t="shared" si="24"/>
        <v>10</v>
      </c>
    </row>
    <row r="717" spans="1:8" x14ac:dyDescent="0.2">
      <c r="A717" s="2">
        <v>27242</v>
      </c>
      <c r="B717" s="3">
        <v>155.25</v>
      </c>
      <c r="C717" s="2">
        <v>27241</v>
      </c>
      <c r="D717" s="3">
        <v>79.31</v>
      </c>
      <c r="G717">
        <f t="shared" si="23"/>
        <v>10000</v>
      </c>
      <c r="H717">
        <f t="shared" si="24"/>
        <v>10</v>
      </c>
    </row>
    <row r="718" spans="1:8" x14ac:dyDescent="0.2">
      <c r="A718" s="2">
        <v>27273</v>
      </c>
      <c r="B718" s="3">
        <v>147.5</v>
      </c>
      <c r="C718" s="2">
        <v>27271</v>
      </c>
      <c r="D718" s="3">
        <v>72.150000000000006</v>
      </c>
      <c r="G718">
        <f t="shared" si="23"/>
        <v>10000</v>
      </c>
      <c r="H718">
        <f t="shared" si="24"/>
        <v>10</v>
      </c>
    </row>
    <row r="719" spans="1:8" x14ac:dyDescent="0.2">
      <c r="A719" s="2">
        <v>27303</v>
      </c>
      <c r="B719" s="3">
        <v>166.4</v>
      </c>
      <c r="C719" s="2">
        <v>27302</v>
      </c>
      <c r="D719" s="3">
        <v>63.54</v>
      </c>
      <c r="G719">
        <f t="shared" si="23"/>
        <v>10000</v>
      </c>
      <c r="H719">
        <f t="shared" si="24"/>
        <v>10</v>
      </c>
    </row>
    <row r="720" spans="1:8" x14ac:dyDescent="0.2">
      <c r="A720" s="2">
        <v>27334</v>
      </c>
      <c r="B720" s="3">
        <v>182</v>
      </c>
      <c r="C720" s="2">
        <v>27333</v>
      </c>
      <c r="D720" s="3">
        <v>73.900000000000006</v>
      </c>
      <c r="G720">
        <f t="shared" si="23"/>
        <v>10000</v>
      </c>
      <c r="H720">
        <f t="shared" si="24"/>
        <v>10</v>
      </c>
    </row>
    <row r="721" spans="1:8" x14ac:dyDescent="0.2">
      <c r="A721" s="2">
        <v>27364</v>
      </c>
      <c r="B721" s="3">
        <v>187.5</v>
      </c>
      <c r="C721" s="2">
        <v>27362</v>
      </c>
      <c r="D721" s="3">
        <v>69.97</v>
      </c>
      <c r="G721">
        <f t="shared" si="23"/>
        <v>10000</v>
      </c>
      <c r="H721">
        <f t="shared" si="24"/>
        <v>10</v>
      </c>
    </row>
    <row r="722" spans="1:8" x14ac:dyDescent="0.2">
      <c r="A722" s="2">
        <v>27395</v>
      </c>
      <c r="B722" s="3">
        <v>176.25</v>
      </c>
      <c r="C722" s="2">
        <v>27394</v>
      </c>
      <c r="D722" s="3">
        <v>68.56</v>
      </c>
      <c r="G722">
        <f t="shared" si="23"/>
        <v>10000</v>
      </c>
      <c r="H722">
        <f t="shared" si="24"/>
        <v>10</v>
      </c>
    </row>
    <row r="723" spans="1:8" x14ac:dyDescent="0.2">
      <c r="A723" s="2">
        <v>27426</v>
      </c>
      <c r="B723" s="3">
        <v>181.75</v>
      </c>
      <c r="C723" s="2">
        <v>27425</v>
      </c>
      <c r="D723" s="3">
        <v>76.98</v>
      </c>
      <c r="G723">
        <f t="shared" si="23"/>
        <v>10000</v>
      </c>
      <c r="H723">
        <f t="shared" si="24"/>
        <v>10</v>
      </c>
    </row>
    <row r="724" spans="1:8" x14ac:dyDescent="0.2">
      <c r="A724" s="2">
        <v>27454</v>
      </c>
      <c r="B724" s="3">
        <v>177.75</v>
      </c>
      <c r="C724" s="2">
        <v>27453</v>
      </c>
      <c r="D724" s="3">
        <v>81.59</v>
      </c>
      <c r="G724">
        <f t="shared" si="23"/>
        <v>10000</v>
      </c>
      <c r="H724">
        <f t="shared" si="24"/>
        <v>10</v>
      </c>
    </row>
    <row r="725" spans="1:8" x14ac:dyDescent="0.2">
      <c r="A725" s="2">
        <v>27485</v>
      </c>
      <c r="B725" s="3">
        <v>167.4</v>
      </c>
      <c r="C725" s="2">
        <v>27484</v>
      </c>
      <c r="D725" s="3">
        <v>83.36</v>
      </c>
      <c r="G725">
        <f t="shared" si="23"/>
        <v>10000</v>
      </c>
      <c r="H725">
        <f t="shared" si="24"/>
        <v>10</v>
      </c>
    </row>
    <row r="726" spans="1:8" x14ac:dyDescent="0.2">
      <c r="A726" s="2">
        <v>27515</v>
      </c>
      <c r="B726" s="3">
        <v>167.75</v>
      </c>
      <c r="C726" s="2">
        <v>27514</v>
      </c>
      <c r="D726" s="3">
        <v>87.3</v>
      </c>
      <c r="G726">
        <f t="shared" si="23"/>
        <v>10000</v>
      </c>
      <c r="H726">
        <f t="shared" si="24"/>
        <v>10</v>
      </c>
    </row>
    <row r="727" spans="1:8" x14ac:dyDescent="0.2">
      <c r="A727" s="2">
        <v>27546</v>
      </c>
      <c r="B727" s="3">
        <v>166</v>
      </c>
      <c r="C727" s="2">
        <v>27544</v>
      </c>
      <c r="D727" s="3">
        <v>91.15</v>
      </c>
      <c r="G727">
        <f t="shared" si="23"/>
        <v>10000</v>
      </c>
      <c r="H727">
        <f t="shared" si="24"/>
        <v>10</v>
      </c>
    </row>
    <row r="728" spans="1:8" x14ac:dyDescent="0.2">
      <c r="A728" s="2">
        <v>27576</v>
      </c>
      <c r="B728" s="3">
        <v>166.4</v>
      </c>
      <c r="C728" s="2">
        <v>27575</v>
      </c>
      <c r="D728" s="3">
        <v>95.19</v>
      </c>
      <c r="G728">
        <f t="shared" si="23"/>
        <v>10000</v>
      </c>
      <c r="H728">
        <f t="shared" si="24"/>
        <v>10</v>
      </c>
    </row>
    <row r="729" spans="1:8" x14ac:dyDescent="0.2">
      <c r="A729" s="2">
        <v>27607</v>
      </c>
      <c r="B729" s="3">
        <v>161.5</v>
      </c>
      <c r="C729" s="2">
        <v>27606</v>
      </c>
      <c r="D729" s="3">
        <v>88.75</v>
      </c>
      <c r="G729">
        <f t="shared" si="23"/>
        <v>10000</v>
      </c>
      <c r="H729">
        <f t="shared" si="24"/>
        <v>10</v>
      </c>
    </row>
    <row r="730" spans="1:8" x14ac:dyDescent="0.2">
      <c r="A730" s="2">
        <v>27638</v>
      </c>
      <c r="B730" s="3">
        <v>138.25</v>
      </c>
      <c r="C730" s="2">
        <v>27635</v>
      </c>
      <c r="D730" s="3">
        <v>86.88</v>
      </c>
      <c r="G730">
        <f t="shared" si="23"/>
        <v>10000</v>
      </c>
      <c r="H730">
        <f t="shared" si="24"/>
        <v>10</v>
      </c>
    </row>
    <row r="731" spans="1:8" x14ac:dyDescent="0.2">
      <c r="A731" s="2">
        <v>27668</v>
      </c>
      <c r="B731" s="3">
        <v>143.4</v>
      </c>
      <c r="C731" s="2">
        <v>27667</v>
      </c>
      <c r="D731" s="3">
        <v>83.87</v>
      </c>
      <c r="G731">
        <f t="shared" si="23"/>
        <v>10000</v>
      </c>
      <c r="H731">
        <f t="shared" si="24"/>
        <v>10</v>
      </c>
    </row>
    <row r="732" spans="1:8" x14ac:dyDescent="0.2">
      <c r="A732" s="2">
        <v>27699</v>
      </c>
      <c r="B732" s="3">
        <v>138.25</v>
      </c>
      <c r="C732" s="2">
        <v>27698</v>
      </c>
      <c r="D732" s="3">
        <v>89.04</v>
      </c>
      <c r="G732">
        <f t="shared" si="23"/>
        <v>10000</v>
      </c>
      <c r="H732">
        <f t="shared" si="24"/>
        <v>10</v>
      </c>
    </row>
    <row r="733" spans="1:8" x14ac:dyDescent="0.2">
      <c r="A733" s="2">
        <v>27729</v>
      </c>
      <c r="B733" s="3">
        <v>140.25</v>
      </c>
      <c r="C733" s="2">
        <v>27726</v>
      </c>
      <c r="D733" s="3">
        <v>91.24</v>
      </c>
      <c r="G733">
        <f t="shared" si="23"/>
        <v>10000</v>
      </c>
      <c r="H733">
        <f t="shared" si="24"/>
        <v>10</v>
      </c>
    </row>
    <row r="734" spans="1:8" x14ac:dyDescent="0.2">
      <c r="A734" s="2">
        <v>27760</v>
      </c>
      <c r="B734" s="3">
        <v>128</v>
      </c>
      <c r="C734" s="2">
        <v>27759</v>
      </c>
      <c r="D734" s="3">
        <v>90.19</v>
      </c>
      <c r="G734">
        <f t="shared" si="23"/>
        <v>10000</v>
      </c>
      <c r="H734">
        <f t="shared" si="24"/>
        <v>10</v>
      </c>
    </row>
    <row r="735" spans="1:8" x14ac:dyDescent="0.2">
      <c r="A735" s="2">
        <v>27791</v>
      </c>
      <c r="B735" s="3">
        <v>132.30000000000001</v>
      </c>
      <c r="C735" s="2">
        <v>27789</v>
      </c>
      <c r="D735" s="3">
        <v>100.86</v>
      </c>
      <c r="G735">
        <f t="shared" si="23"/>
        <v>10000</v>
      </c>
      <c r="H735">
        <f t="shared" si="24"/>
        <v>10</v>
      </c>
    </row>
    <row r="736" spans="1:8" x14ac:dyDescent="0.2">
      <c r="A736" s="2">
        <v>27820</v>
      </c>
      <c r="B736" s="3">
        <v>129.5</v>
      </c>
      <c r="C736" s="2">
        <v>27817</v>
      </c>
      <c r="D736" s="3">
        <v>99.71</v>
      </c>
      <c r="G736">
        <f t="shared" si="23"/>
        <v>10000</v>
      </c>
      <c r="H736">
        <f t="shared" si="24"/>
        <v>10</v>
      </c>
    </row>
    <row r="737" spans="1:8" x14ac:dyDescent="0.2">
      <c r="A737" s="2">
        <v>27851</v>
      </c>
      <c r="B737" s="3">
        <v>128.15</v>
      </c>
      <c r="C737" s="2">
        <v>27850</v>
      </c>
      <c r="D737" s="3">
        <v>102.77</v>
      </c>
      <c r="G737">
        <f t="shared" si="23"/>
        <v>10000</v>
      </c>
      <c r="H737">
        <f t="shared" si="24"/>
        <v>10</v>
      </c>
    </row>
    <row r="738" spans="1:8" x14ac:dyDescent="0.2">
      <c r="A738" s="2">
        <v>27881</v>
      </c>
      <c r="B738" s="3">
        <v>125.25</v>
      </c>
      <c r="C738" s="2">
        <v>27880</v>
      </c>
      <c r="D738" s="3">
        <v>101.64</v>
      </c>
      <c r="G738">
        <f t="shared" si="23"/>
        <v>10000</v>
      </c>
      <c r="H738">
        <f t="shared" si="24"/>
        <v>10</v>
      </c>
    </row>
    <row r="739" spans="1:8" x14ac:dyDescent="0.2">
      <c r="A739" s="2">
        <v>27912</v>
      </c>
      <c r="B739" s="3">
        <v>123.8</v>
      </c>
      <c r="C739" s="2">
        <v>27908</v>
      </c>
      <c r="D739" s="3">
        <v>100.18</v>
      </c>
      <c r="G739">
        <f t="shared" si="23"/>
        <v>10000</v>
      </c>
      <c r="H739">
        <f t="shared" si="24"/>
        <v>10</v>
      </c>
    </row>
    <row r="740" spans="1:8" x14ac:dyDescent="0.2">
      <c r="A740" s="2">
        <v>27942</v>
      </c>
      <c r="B740" s="3">
        <v>112.4</v>
      </c>
      <c r="C740" s="2">
        <v>27941</v>
      </c>
      <c r="D740" s="3">
        <v>104.28</v>
      </c>
      <c r="G740">
        <f t="shared" si="23"/>
        <v>10000</v>
      </c>
      <c r="H740">
        <f t="shared" si="24"/>
        <v>10</v>
      </c>
    </row>
    <row r="741" spans="1:8" x14ac:dyDescent="0.2">
      <c r="A741" s="2">
        <v>27973</v>
      </c>
      <c r="B741" s="3">
        <v>103.05</v>
      </c>
      <c r="C741" s="2">
        <v>27971</v>
      </c>
      <c r="D741" s="3">
        <v>103.44</v>
      </c>
      <c r="G741">
        <f t="shared" si="23"/>
        <v>10000</v>
      </c>
      <c r="H741">
        <f t="shared" si="24"/>
        <v>10</v>
      </c>
    </row>
    <row r="742" spans="1:8" x14ac:dyDescent="0.2">
      <c r="A742" s="2">
        <v>28004</v>
      </c>
      <c r="B742" s="3">
        <v>116.1</v>
      </c>
      <c r="C742" s="2">
        <v>28003</v>
      </c>
      <c r="D742" s="3">
        <v>102.91</v>
      </c>
      <c r="G742">
        <f t="shared" si="23"/>
        <v>10000</v>
      </c>
      <c r="H742">
        <f t="shared" si="24"/>
        <v>10</v>
      </c>
    </row>
    <row r="743" spans="1:8" x14ac:dyDescent="0.2">
      <c r="A743" s="2">
        <v>28034</v>
      </c>
      <c r="B743" s="3">
        <v>122.3</v>
      </c>
      <c r="C743" s="2">
        <v>28033</v>
      </c>
      <c r="D743" s="3">
        <v>105.24</v>
      </c>
      <c r="G743">
        <f t="shared" si="23"/>
        <v>10000</v>
      </c>
      <c r="H743">
        <f t="shared" si="24"/>
        <v>10</v>
      </c>
    </row>
    <row r="744" spans="1:8" x14ac:dyDescent="0.2">
      <c r="A744" s="2">
        <v>28065</v>
      </c>
      <c r="B744" s="3">
        <v>130.1</v>
      </c>
      <c r="C744" s="2">
        <v>28062</v>
      </c>
      <c r="D744" s="3">
        <v>102.9</v>
      </c>
      <c r="G744">
        <f t="shared" si="23"/>
        <v>10000</v>
      </c>
      <c r="H744">
        <f t="shared" si="24"/>
        <v>10</v>
      </c>
    </row>
    <row r="745" spans="1:8" x14ac:dyDescent="0.2">
      <c r="A745" s="2">
        <v>28095</v>
      </c>
      <c r="B745" s="3">
        <v>134.55000000000001</v>
      </c>
      <c r="C745" s="2">
        <v>28094</v>
      </c>
      <c r="D745" s="3">
        <v>102.1</v>
      </c>
      <c r="G745">
        <f t="shared" si="23"/>
        <v>10000</v>
      </c>
      <c r="H745">
        <f t="shared" si="24"/>
        <v>10</v>
      </c>
    </row>
    <row r="746" spans="1:8" x14ac:dyDescent="0.2">
      <c r="A746" s="2">
        <v>28126</v>
      </c>
      <c r="B746" s="3">
        <v>132.1</v>
      </c>
      <c r="C746" s="2">
        <v>28125</v>
      </c>
      <c r="D746" s="3">
        <v>107.46</v>
      </c>
      <c r="G746">
        <f t="shared" si="23"/>
        <v>10000</v>
      </c>
      <c r="H746">
        <f t="shared" si="24"/>
        <v>10</v>
      </c>
    </row>
    <row r="747" spans="1:8" x14ac:dyDescent="0.2">
      <c r="A747" s="2">
        <v>28157</v>
      </c>
      <c r="B747" s="3">
        <v>142.25</v>
      </c>
      <c r="C747" s="2">
        <v>28156</v>
      </c>
      <c r="D747" s="3">
        <v>102.03</v>
      </c>
      <c r="G747">
        <f t="shared" si="23"/>
        <v>10000</v>
      </c>
      <c r="H747">
        <f t="shared" si="24"/>
        <v>10</v>
      </c>
    </row>
    <row r="748" spans="1:8" x14ac:dyDescent="0.2">
      <c r="A748" s="2">
        <v>28185</v>
      </c>
      <c r="B748" s="3">
        <v>149.80000000000001</v>
      </c>
      <c r="C748" s="2">
        <v>28184</v>
      </c>
      <c r="D748" s="3">
        <v>99.82</v>
      </c>
      <c r="G748">
        <f t="shared" si="23"/>
        <v>10000</v>
      </c>
      <c r="H748">
        <f t="shared" si="24"/>
        <v>10</v>
      </c>
    </row>
    <row r="749" spans="1:8" x14ac:dyDescent="0.2">
      <c r="A749" s="2">
        <v>28216</v>
      </c>
      <c r="B749" s="3">
        <v>146.5</v>
      </c>
      <c r="C749" s="2">
        <v>28215</v>
      </c>
      <c r="D749" s="3">
        <v>98.42</v>
      </c>
      <c r="G749">
        <f t="shared" si="23"/>
        <v>10000</v>
      </c>
      <c r="H749">
        <f t="shared" si="24"/>
        <v>10</v>
      </c>
    </row>
    <row r="750" spans="1:8" x14ac:dyDescent="0.2">
      <c r="A750" s="2">
        <v>28246</v>
      </c>
      <c r="B750" s="3">
        <v>143.19999999999999</v>
      </c>
      <c r="C750" s="2">
        <v>28244</v>
      </c>
      <c r="D750" s="3">
        <v>98.44</v>
      </c>
      <c r="G750">
        <f t="shared" si="23"/>
        <v>10000</v>
      </c>
      <c r="H750">
        <f t="shared" si="24"/>
        <v>10</v>
      </c>
    </row>
    <row r="751" spans="1:8" x14ac:dyDescent="0.2">
      <c r="A751" s="2">
        <v>28277</v>
      </c>
      <c r="B751" s="3">
        <v>142.94999999999999</v>
      </c>
      <c r="C751" s="2">
        <v>28276</v>
      </c>
      <c r="D751" s="3">
        <v>96.12</v>
      </c>
      <c r="G751">
        <f t="shared" si="23"/>
        <v>10000</v>
      </c>
      <c r="H751">
        <f t="shared" si="24"/>
        <v>10</v>
      </c>
    </row>
    <row r="752" spans="1:8" x14ac:dyDescent="0.2">
      <c r="A752" s="2">
        <v>28307</v>
      </c>
      <c r="B752" s="3">
        <v>144.5</v>
      </c>
      <c r="C752" s="2">
        <v>28306</v>
      </c>
      <c r="D752" s="3">
        <v>100.48</v>
      </c>
      <c r="G752">
        <f t="shared" si="23"/>
        <v>10000</v>
      </c>
      <c r="H752">
        <f t="shared" si="24"/>
        <v>10</v>
      </c>
    </row>
    <row r="753" spans="1:8" x14ac:dyDescent="0.2">
      <c r="A753" s="2">
        <v>28338</v>
      </c>
      <c r="B753" s="3">
        <v>146</v>
      </c>
      <c r="C753" s="2">
        <v>28335</v>
      </c>
      <c r="D753" s="3">
        <v>98.85</v>
      </c>
      <c r="G753">
        <f t="shared" si="23"/>
        <v>10000</v>
      </c>
      <c r="H753">
        <f t="shared" si="24"/>
        <v>10</v>
      </c>
    </row>
    <row r="754" spans="1:8" x14ac:dyDescent="0.2">
      <c r="A754" s="2">
        <v>28369</v>
      </c>
      <c r="B754" s="3">
        <v>153.9</v>
      </c>
      <c r="C754" s="2">
        <v>28368</v>
      </c>
      <c r="D754" s="3">
        <v>96.77</v>
      </c>
      <c r="G754">
        <f t="shared" si="23"/>
        <v>10000</v>
      </c>
      <c r="H754">
        <f t="shared" si="24"/>
        <v>10</v>
      </c>
    </row>
    <row r="755" spans="1:8" x14ac:dyDescent="0.2">
      <c r="A755" s="2">
        <v>28399</v>
      </c>
      <c r="B755" s="3">
        <v>160.80000000000001</v>
      </c>
      <c r="C755" s="2">
        <v>28398</v>
      </c>
      <c r="D755" s="3">
        <v>96.53</v>
      </c>
      <c r="G755">
        <f t="shared" si="23"/>
        <v>10000</v>
      </c>
      <c r="H755">
        <f t="shared" si="24"/>
        <v>10</v>
      </c>
    </row>
    <row r="756" spans="1:8" x14ac:dyDescent="0.2">
      <c r="A756" s="2">
        <v>28430</v>
      </c>
      <c r="B756" s="3">
        <v>159.80000000000001</v>
      </c>
      <c r="C756" s="2">
        <v>28429</v>
      </c>
      <c r="D756" s="3">
        <v>92.34</v>
      </c>
      <c r="G756">
        <f t="shared" si="23"/>
        <v>10000</v>
      </c>
      <c r="H756">
        <f t="shared" si="24"/>
        <v>10</v>
      </c>
    </row>
    <row r="757" spans="1:8" x14ac:dyDescent="0.2">
      <c r="A757" s="2">
        <v>28460</v>
      </c>
      <c r="B757" s="3">
        <v>165.6</v>
      </c>
      <c r="C757" s="2">
        <v>28459</v>
      </c>
      <c r="D757" s="3">
        <v>94.83</v>
      </c>
      <c r="G757">
        <f t="shared" si="23"/>
        <v>10000</v>
      </c>
      <c r="H757">
        <f t="shared" si="24"/>
        <v>10</v>
      </c>
    </row>
    <row r="758" spans="1:8" x14ac:dyDescent="0.2">
      <c r="A758" s="2">
        <v>28491</v>
      </c>
      <c r="B758" s="3">
        <v>175.2</v>
      </c>
      <c r="C758" s="2">
        <v>28489</v>
      </c>
      <c r="D758" s="3">
        <v>95.1</v>
      </c>
      <c r="G758">
        <f t="shared" si="23"/>
        <v>10000</v>
      </c>
      <c r="H758">
        <f t="shared" si="24"/>
        <v>10</v>
      </c>
    </row>
    <row r="759" spans="1:8" x14ac:dyDescent="0.2">
      <c r="A759" s="2">
        <v>28522</v>
      </c>
      <c r="B759" s="3">
        <v>182</v>
      </c>
      <c r="C759" s="2">
        <v>28521</v>
      </c>
      <c r="D759" s="3">
        <v>89.25</v>
      </c>
      <c r="G759">
        <f t="shared" si="23"/>
        <v>10000</v>
      </c>
      <c r="H759">
        <f t="shared" si="24"/>
        <v>10</v>
      </c>
    </row>
    <row r="760" spans="1:8" x14ac:dyDescent="0.2">
      <c r="A760" s="2">
        <v>28550</v>
      </c>
      <c r="B760" s="3">
        <v>180.75</v>
      </c>
      <c r="C760" s="2">
        <v>28549</v>
      </c>
      <c r="D760" s="3">
        <v>87.04</v>
      </c>
      <c r="G760">
        <f t="shared" si="23"/>
        <v>10000</v>
      </c>
      <c r="H760">
        <f t="shared" si="24"/>
        <v>10</v>
      </c>
    </row>
    <row r="761" spans="1:8" x14ac:dyDescent="0.2">
      <c r="A761" s="2">
        <v>28581</v>
      </c>
      <c r="B761" s="3">
        <v>170</v>
      </c>
      <c r="C761" s="2">
        <v>28580</v>
      </c>
      <c r="D761" s="3">
        <v>89.21</v>
      </c>
      <c r="G761">
        <f t="shared" si="23"/>
        <v>10000</v>
      </c>
      <c r="H761">
        <f t="shared" si="24"/>
        <v>10</v>
      </c>
    </row>
    <row r="762" spans="1:8" x14ac:dyDescent="0.2">
      <c r="A762" s="2">
        <v>28611</v>
      </c>
      <c r="B762" s="3">
        <v>184.9</v>
      </c>
      <c r="C762" s="2">
        <v>28608</v>
      </c>
      <c r="D762" s="3">
        <v>96.83</v>
      </c>
      <c r="G762">
        <f t="shared" si="23"/>
        <v>10000</v>
      </c>
      <c r="H762">
        <f t="shared" si="24"/>
        <v>10</v>
      </c>
    </row>
    <row r="763" spans="1:8" x14ac:dyDescent="0.2">
      <c r="A763" s="2">
        <v>28642</v>
      </c>
      <c r="B763" s="3">
        <v>183.2</v>
      </c>
      <c r="C763" s="2">
        <v>28641</v>
      </c>
      <c r="D763" s="3">
        <v>97.24</v>
      </c>
      <c r="G763">
        <f t="shared" si="23"/>
        <v>10000</v>
      </c>
      <c r="H763">
        <f t="shared" si="24"/>
        <v>10</v>
      </c>
    </row>
    <row r="764" spans="1:8" x14ac:dyDescent="0.2">
      <c r="A764" s="2">
        <v>28672</v>
      </c>
      <c r="B764" s="3">
        <v>198.9</v>
      </c>
      <c r="C764" s="2">
        <v>28671</v>
      </c>
      <c r="D764" s="3">
        <v>95.53</v>
      </c>
      <c r="G764">
        <f t="shared" si="23"/>
        <v>10000</v>
      </c>
      <c r="H764">
        <f t="shared" si="24"/>
        <v>10</v>
      </c>
    </row>
    <row r="765" spans="1:8" x14ac:dyDescent="0.2">
      <c r="A765" s="2">
        <v>28703</v>
      </c>
      <c r="B765" s="3">
        <v>207.3</v>
      </c>
      <c r="C765" s="2">
        <v>28702</v>
      </c>
      <c r="D765" s="3">
        <v>100.68</v>
      </c>
      <c r="G765">
        <f t="shared" si="23"/>
        <v>10000</v>
      </c>
      <c r="H765">
        <f t="shared" si="24"/>
        <v>10</v>
      </c>
    </row>
    <row r="766" spans="1:8" x14ac:dyDescent="0.2">
      <c r="A766" s="2">
        <v>28734</v>
      </c>
      <c r="B766" s="3">
        <v>217.45</v>
      </c>
      <c r="C766" s="2">
        <v>28733</v>
      </c>
      <c r="D766" s="3">
        <v>103.29</v>
      </c>
      <c r="G766">
        <f t="shared" si="23"/>
        <v>10000</v>
      </c>
      <c r="H766">
        <f t="shared" si="24"/>
        <v>10</v>
      </c>
    </row>
    <row r="767" spans="1:8" x14ac:dyDescent="0.2">
      <c r="A767" s="2">
        <v>28764</v>
      </c>
      <c r="B767" s="3">
        <v>243.65</v>
      </c>
      <c r="C767" s="2">
        <v>28762</v>
      </c>
      <c r="D767" s="3">
        <v>102.54</v>
      </c>
      <c r="G767">
        <f t="shared" si="23"/>
        <v>10000</v>
      </c>
      <c r="H767">
        <f t="shared" si="24"/>
        <v>10</v>
      </c>
    </row>
    <row r="768" spans="1:8" x14ac:dyDescent="0.2">
      <c r="A768" s="2">
        <v>28795</v>
      </c>
      <c r="B768" s="3">
        <v>193.7</v>
      </c>
      <c r="C768" s="2">
        <v>28794</v>
      </c>
      <c r="D768" s="3">
        <v>93.15</v>
      </c>
      <c r="G768">
        <f t="shared" si="23"/>
        <v>10000</v>
      </c>
      <c r="H768">
        <f t="shared" si="24"/>
        <v>10</v>
      </c>
    </row>
    <row r="769" spans="1:8" x14ac:dyDescent="0.2">
      <c r="A769" s="2">
        <v>28825</v>
      </c>
      <c r="B769" s="3">
        <v>224.5</v>
      </c>
      <c r="C769" s="2">
        <v>28824</v>
      </c>
      <c r="D769" s="3">
        <v>94.7</v>
      </c>
      <c r="G769">
        <f t="shared" si="23"/>
        <v>10000</v>
      </c>
      <c r="H769">
        <f t="shared" si="24"/>
        <v>10</v>
      </c>
    </row>
    <row r="770" spans="1:8" x14ac:dyDescent="0.2">
      <c r="A770" s="2">
        <v>28856</v>
      </c>
      <c r="B770" s="3">
        <v>233.05</v>
      </c>
      <c r="C770" s="2">
        <v>28853</v>
      </c>
      <c r="D770" s="3">
        <v>96.11</v>
      </c>
      <c r="G770">
        <f t="shared" si="23"/>
        <v>10000</v>
      </c>
      <c r="H770">
        <f t="shared" si="24"/>
        <v>10</v>
      </c>
    </row>
    <row r="771" spans="1:8" x14ac:dyDescent="0.2">
      <c r="A771" s="2">
        <v>28887</v>
      </c>
      <c r="B771" s="3">
        <v>250.9</v>
      </c>
      <c r="C771" s="2">
        <v>28886</v>
      </c>
      <c r="D771" s="3">
        <v>99.93</v>
      </c>
      <c r="G771">
        <f t="shared" ref="G771:G834" si="25">IF(AND(A771&gt;=DATE(1973,1,1), A771&lt;=DATE(1982,12,31)), 10000, 10)</f>
        <v>10000</v>
      </c>
      <c r="H771">
        <f t="shared" ref="H771:H834" si="26">IF(AND(A771&gt;=DATE(1983,1,1), A771&lt;=DATE(2007,12,31)), 10000, 10)</f>
        <v>10</v>
      </c>
    </row>
    <row r="772" spans="1:8" x14ac:dyDescent="0.2">
      <c r="A772" s="2">
        <v>28915</v>
      </c>
      <c r="B772" s="3">
        <v>239.65</v>
      </c>
      <c r="C772" s="2">
        <v>28914</v>
      </c>
      <c r="D772" s="3">
        <v>96.28</v>
      </c>
      <c r="G772">
        <f t="shared" si="25"/>
        <v>10000</v>
      </c>
      <c r="H772">
        <f t="shared" si="26"/>
        <v>10</v>
      </c>
    </row>
    <row r="773" spans="1:8" x14ac:dyDescent="0.2">
      <c r="A773" s="2">
        <v>28946</v>
      </c>
      <c r="B773" s="3">
        <v>243.45</v>
      </c>
      <c r="C773" s="2">
        <v>28944</v>
      </c>
      <c r="D773" s="3">
        <v>101.59</v>
      </c>
      <c r="G773">
        <f t="shared" si="25"/>
        <v>10000</v>
      </c>
      <c r="H773">
        <f t="shared" si="26"/>
        <v>10</v>
      </c>
    </row>
    <row r="774" spans="1:8" x14ac:dyDescent="0.2">
      <c r="A774" s="2">
        <v>28976</v>
      </c>
      <c r="B774" s="3">
        <v>277.14999999999998</v>
      </c>
      <c r="C774" s="2">
        <v>28975</v>
      </c>
      <c r="D774" s="3">
        <v>101.76</v>
      </c>
      <c r="G774">
        <f t="shared" si="25"/>
        <v>10000</v>
      </c>
      <c r="H774">
        <f t="shared" si="26"/>
        <v>10</v>
      </c>
    </row>
    <row r="775" spans="1:8" x14ac:dyDescent="0.2">
      <c r="A775" s="2">
        <v>29007</v>
      </c>
      <c r="B775" s="3">
        <v>276.45</v>
      </c>
      <c r="C775" s="2">
        <v>29006</v>
      </c>
      <c r="D775" s="3">
        <v>99.08</v>
      </c>
      <c r="G775">
        <f t="shared" si="25"/>
        <v>10000</v>
      </c>
      <c r="H775">
        <f t="shared" si="26"/>
        <v>10</v>
      </c>
    </row>
    <row r="776" spans="1:8" x14ac:dyDescent="0.2">
      <c r="A776" s="2">
        <v>29037</v>
      </c>
      <c r="B776" s="3">
        <v>295.35000000000002</v>
      </c>
      <c r="C776" s="2">
        <v>29035</v>
      </c>
      <c r="D776" s="3">
        <v>102.91</v>
      </c>
      <c r="G776">
        <f t="shared" si="25"/>
        <v>10000</v>
      </c>
      <c r="H776">
        <f t="shared" si="26"/>
        <v>10</v>
      </c>
    </row>
    <row r="777" spans="1:8" x14ac:dyDescent="0.2">
      <c r="A777" s="2">
        <v>29068</v>
      </c>
      <c r="B777" s="3">
        <v>317.75</v>
      </c>
      <c r="C777" s="2">
        <v>29067</v>
      </c>
      <c r="D777" s="3">
        <v>103.81</v>
      </c>
      <c r="G777">
        <f t="shared" si="25"/>
        <v>10000</v>
      </c>
      <c r="H777">
        <f t="shared" si="26"/>
        <v>10</v>
      </c>
    </row>
    <row r="778" spans="1:8" x14ac:dyDescent="0.2">
      <c r="A778" s="2">
        <v>29099</v>
      </c>
      <c r="B778" s="3">
        <v>397</v>
      </c>
      <c r="C778" s="2">
        <v>29098</v>
      </c>
      <c r="D778" s="3">
        <v>109.32</v>
      </c>
      <c r="G778">
        <f t="shared" si="25"/>
        <v>10000</v>
      </c>
      <c r="H778">
        <f t="shared" si="26"/>
        <v>10</v>
      </c>
    </row>
    <row r="779" spans="1:8" x14ac:dyDescent="0.2">
      <c r="A779" s="2">
        <v>29129</v>
      </c>
      <c r="B779" s="3">
        <v>379.75</v>
      </c>
      <c r="C779" s="2">
        <v>29126</v>
      </c>
      <c r="D779" s="3">
        <v>109.32</v>
      </c>
      <c r="G779">
        <f t="shared" si="25"/>
        <v>10000</v>
      </c>
      <c r="H779">
        <f t="shared" si="26"/>
        <v>10</v>
      </c>
    </row>
    <row r="780" spans="1:8" x14ac:dyDescent="0.2">
      <c r="A780" s="2">
        <v>29160</v>
      </c>
      <c r="B780" s="3">
        <v>417.2</v>
      </c>
      <c r="C780" s="2">
        <v>29159</v>
      </c>
      <c r="D780" s="3">
        <v>101.82</v>
      </c>
      <c r="G780">
        <f t="shared" si="25"/>
        <v>10000</v>
      </c>
      <c r="H780">
        <f t="shared" si="26"/>
        <v>10</v>
      </c>
    </row>
    <row r="781" spans="1:8" x14ac:dyDescent="0.2">
      <c r="A781" s="2">
        <v>29190</v>
      </c>
      <c r="B781" s="3">
        <v>524</v>
      </c>
      <c r="C781" s="2">
        <v>29189</v>
      </c>
      <c r="D781" s="3">
        <v>106.16</v>
      </c>
      <c r="G781">
        <f t="shared" si="25"/>
        <v>10000</v>
      </c>
      <c r="H781">
        <f t="shared" si="26"/>
        <v>10</v>
      </c>
    </row>
    <row r="782" spans="1:8" x14ac:dyDescent="0.2">
      <c r="A782" s="2">
        <v>29221</v>
      </c>
      <c r="B782" s="3">
        <v>668</v>
      </c>
      <c r="C782" s="2">
        <v>29220</v>
      </c>
      <c r="D782" s="3">
        <v>107.94</v>
      </c>
      <c r="G782">
        <f t="shared" si="25"/>
        <v>10000</v>
      </c>
      <c r="H782">
        <f t="shared" si="26"/>
        <v>10</v>
      </c>
    </row>
    <row r="783" spans="1:8" x14ac:dyDescent="0.2">
      <c r="A783" s="2">
        <v>29252</v>
      </c>
      <c r="B783" s="3">
        <v>640</v>
      </c>
      <c r="C783" s="2">
        <v>29251</v>
      </c>
      <c r="D783" s="3">
        <v>114.16</v>
      </c>
      <c r="G783">
        <f t="shared" si="25"/>
        <v>10000</v>
      </c>
      <c r="H783">
        <f t="shared" si="26"/>
        <v>10</v>
      </c>
    </row>
    <row r="784" spans="1:8" x14ac:dyDescent="0.2">
      <c r="A784" s="2">
        <v>29281</v>
      </c>
      <c r="B784" s="3">
        <v>503.25</v>
      </c>
      <c r="C784" s="2">
        <v>29280</v>
      </c>
      <c r="D784" s="3">
        <v>113.66</v>
      </c>
      <c r="G784">
        <f t="shared" si="25"/>
        <v>10000</v>
      </c>
      <c r="H784">
        <f t="shared" si="26"/>
        <v>10</v>
      </c>
    </row>
    <row r="785" spans="1:8" x14ac:dyDescent="0.2">
      <c r="A785" s="2">
        <v>29312</v>
      </c>
      <c r="B785" s="3">
        <v>519.25</v>
      </c>
      <c r="C785" s="2">
        <v>29311</v>
      </c>
      <c r="D785" s="3">
        <v>102.09</v>
      </c>
      <c r="G785">
        <f t="shared" si="25"/>
        <v>10000</v>
      </c>
      <c r="H785">
        <f t="shared" si="26"/>
        <v>10</v>
      </c>
    </row>
    <row r="786" spans="1:8" x14ac:dyDescent="0.2">
      <c r="A786" s="2">
        <v>29342</v>
      </c>
      <c r="B786" s="3">
        <v>531.4</v>
      </c>
      <c r="C786" s="2">
        <v>29341</v>
      </c>
      <c r="D786" s="3">
        <v>106.29</v>
      </c>
      <c r="G786">
        <f t="shared" si="25"/>
        <v>10000</v>
      </c>
      <c r="H786">
        <f t="shared" si="26"/>
        <v>10</v>
      </c>
    </row>
    <row r="787" spans="1:8" x14ac:dyDescent="0.2">
      <c r="A787" s="2">
        <v>29373</v>
      </c>
      <c r="B787" s="3">
        <v>662.5</v>
      </c>
      <c r="C787" s="2">
        <v>29371</v>
      </c>
      <c r="D787" s="3">
        <v>111.24</v>
      </c>
      <c r="G787">
        <f t="shared" si="25"/>
        <v>10000</v>
      </c>
      <c r="H787">
        <f t="shared" si="26"/>
        <v>10</v>
      </c>
    </row>
    <row r="788" spans="1:8" x14ac:dyDescent="0.2">
      <c r="A788" s="2">
        <v>29403</v>
      </c>
      <c r="B788" s="3">
        <v>618</v>
      </c>
      <c r="C788" s="2">
        <v>29402</v>
      </c>
      <c r="D788" s="3">
        <v>114.24</v>
      </c>
      <c r="G788">
        <f t="shared" si="25"/>
        <v>10000</v>
      </c>
      <c r="H788">
        <f t="shared" si="26"/>
        <v>10</v>
      </c>
    </row>
    <row r="789" spans="1:8" x14ac:dyDescent="0.2">
      <c r="A789" s="2">
        <v>29434</v>
      </c>
      <c r="B789" s="3">
        <v>633.75</v>
      </c>
      <c r="C789" s="2">
        <v>29433</v>
      </c>
      <c r="D789" s="3">
        <v>121.67</v>
      </c>
      <c r="G789">
        <f t="shared" si="25"/>
        <v>10000</v>
      </c>
      <c r="H789">
        <f t="shared" si="26"/>
        <v>10</v>
      </c>
    </row>
    <row r="790" spans="1:8" x14ac:dyDescent="0.2">
      <c r="A790" s="2">
        <v>29465</v>
      </c>
      <c r="B790" s="3">
        <v>670</v>
      </c>
      <c r="C790" s="2">
        <v>29462</v>
      </c>
      <c r="D790" s="3">
        <v>122.38</v>
      </c>
      <c r="G790">
        <f t="shared" si="25"/>
        <v>10000</v>
      </c>
      <c r="H790">
        <f t="shared" si="26"/>
        <v>10</v>
      </c>
    </row>
    <row r="791" spans="1:8" x14ac:dyDescent="0.2">
      <c r="A791" s="2">
        <v>29495</v>
      </c>
      <c r="B791" s="3">
        <v>636</v>
      </c>
      <c r="C791" s="2">
        <v>29494</v>
      </c>
      <c r="D791" s="3">
        <v>125.46</v>
      </c>
      <c r="G791">
        <f t="shared" si="25"/>
        <v>10000</v>
      </c>
      <c r="H791">
        <f t="shared" si="26"/>
        <v>10</v>
      </c>
    </row>
    <row r="792" spans="1:8" x14ac:dyDescent="0.2">
      <c r="A792" s="2">
        <v>29526</v>
      </c>
      <c r="B792" s="3">
        <v>621.5</v>
      </c>
      <c r="C792" s="2">
        <v>29525</v>
      </c>
      <c r="D792" s="3">
        <v>127.47</v>
      </c>
      <c r="G792">
        <f t="shared" si="25"/>
        <v>10000</v>
      </c>
      <c r="H792">
        <f t="shared" si="26"/>
        <v>10</v>
      </c>
    </row>
    <row r="793" spans="1:8" x14ac:dyDescent="0.2">
      <c r="A793" s="2">
        <v>29556</v>
      </c>
      <c r="B793" s="3">
        <v>589.5</v>
      </c>
      <c r="C793" s="2">
        <v>29553</v>
      </c>
      <c r="D793" s="3">
        <v>140.52000000000001</v>
      </c>
      <c r="G793">
        <f t="shared" si="25"/>
        <v>10000</v>
      </c>
      <c r="H793">
        <f t="shared" si="26"/>
        <v>10</v>
      </c>
    </row>
    <row r="794" spans="1:8" x14ac:dyDescent="0.2">
      <c r="A794" s="2">
        <v>29587</v>
      </c>
      <c r="B794" s="3">
        <v>507.5</v>
      </c>
      <c r="C794" s="2">
        <v>29586</v>
      </c>
      <c r="D794" s="3">
        <v>135.76</v>
      </c>
      <c r="G794">
        <f t="shared" si="25"/>
        <v>10000</v>
      </c>
      <c r="H794">
        <f t="shared" si="26"/>
        <v>10</v>
      </c>
    </row>
    <row r="795" spans="1:8" x14ac:dyDescent="0.2">
      <c r="A795" s="2">
        <v>29618</v>
      </c>
      <c r="B795" s="3">
        <v>490.25</v>
      </c>
      <c r="C795" s="2">
        <v>29616</v>
      </c>
      <c r="D795" s="3">
        <v>129.55000000000001</v>
      </c>
      <c r="G795">
        <f t="shared" si="25"/>
        <v>10000</v>
      </c>
      <c r="H795">
        <f t="shared" si="26"/>
        <v>10</v>
      </c>
    </row>
    <row r="796" spans="1:8" x14ac:dyDescent="0.2">
      <c r="A796" s="2">
        <v>29646</v>
      </c>
      <c r="B796" s="3">
        <v>514.25</v>
      </c>
      <c r="C796" s="2">
        <v>29644</v>
      </c>
      <c r="D796" s="3">
        <v>131.27000000000001</v>
      </c>
      <c r="G796">
        <f t="shared" si="25"/>
        <v>10000</v>
      </c>
      <c r="H796">
        <f t="shared" si="26"/>
        <v>10</v>
      </c>
    </row>
    <row r="797" spans="1:8" x14ac:dyDescent="0.2">
      <c r="A797" s="2">
        <v>29677</v>
      </c>
      <c r="B797" s="3">
        <v>481</v>
      </c>
      <c r="C797" s="2">
        <v>29676</v>
      </c>
      <c r="D797" s="3">
        <v>136</v>
      </c>
      <c r="G797">
        <f t="shared" si="25"/>
        <v>10000</v>
      </c>
      <c r="H797">
        <f t="shared" si="26"/>
        <v>10</v>
      </c>
    </row>
    <row r="798" spans="1:8" x14ac:dyDescent="0.2">
      <c r="A798" s="2">
        <v>29707</v>
      </c>
      <c r="B798" s="3">
        <v>478.75</v>
      </c>
      <c r="C798" s="2">
        <v>29706</v>
      </c>
      <c r="D798" s="3">
        <v>132.81</v>
      </c>
      <c r="G798">
        <f t="shared" si="25"/>
        <v>10000</v>
      </c>
      <c r="H798">
        <f t="shared" si="26"/>
        <v>10</v>
      </c>
    </row>
    <row r="799" spans="1:8" x14ac:dyDescent="0.2">
      <c r="A799" s="2">
        <v>29738</v>
      </c>
      <c r="B799" s="3">
        <v>421.5</v>
      </c>
      <c r="C799" s="2">
        <v>29735</v>
      </c>
      <c r="D799" s="3">
        <v>132.59</v>
      </c>
      <c r="G799">
        <f t="shared" si="25"/>
        <v>10000</v>
      </c>
      <c r="H799">
        <f t="shared" si="26"/>
        <v>10</v>
      </c>
    </row>
    <row r="800" spans="1:8" x14ac:dyDescent="0.2">
      <c r="A800" s="2">
        <v>29768</v>
      </c>
      <c r="B800" s="3">
        <v>405.25</v>
      </c>
      <c r="C800" s="2">
        <v>29767</v>
      </c>
      <c r="D800" s="3">
        <v>131.21</v>
      </c>
      <c r="G800">
        <f t="shared" si="25"/>
        <v>10000</v>
      </c>
      <c r="H800">
        <f t="shared" si="26"/>
        <v>10</v>
      </c>
    </row>
    <row r="801" spans="1:8" x14ac:dyDescent="0.2">
      <c r="A801" s="2">
        <v>29799</v>
      </c>
      <c r="B801" s="3">
        <v>425.5</v>
      </c>
      <c r="C801" s="2">
        <v>29798</v>
      </c>
      <c r="D801" s="3">
        <v>130.91999999999999</v>
      </c>
      <c r="G801">
        <f t="shared" si="25"/>
        <v>10000</v>
      </c>
      <c r="H801">
        <f t="shared" si="26"/>
        <v>10</v>
      </c>
    </row>
    <row r="802" spans="1:8" x14ac:dyDescent="0.2">
      <c r="A802" s="2">
        <v>29830</v>
      </c>
      <c r="B802" s="3">
        <v>426.5</v>
      </c>
      <c r="C802" s="2">
        <v>29829</v>
      </c>
      <c r="D802" s="3">
        <v>122.79</v>
      </c>
      <c r="G802">
        <f t="shared" si="25"/>
        <v>10000</v>
      </c>
      <c r="H802">
        <f t="shared" si="26"/>
        <v>10</v>
      </c>
    </row>
    <row r="803" spans="1:8" x14ac:dyDescent="0.2">
      <c r="A803" s="2">
        <v>29860</v>
      </c>
      <c r="B803" s="3">
        <v>429</v>
      </c>
      <c r="C803" s="2">
        <v>29859</v>
      </c>
      <c r="D803" s="3">
        <v>116.18</v>
      </c>
      <c r="G803">
        <f t="shared" si="25"/>
        <v>10000</v>
      </c>
      <c r="H803">
        <f t="shared" si="26"/>
        <v>10</v>
      </c>
    </row>
    <row r="804" spans="1:8" x14ac:dyDescent="0.2">
      <c r="A804" s="2">
        <v>29891</v>
      </c>
      <c r="B804" s="3">
        <v>415.5</v>
      </c>
      <c r="C804" s="2">
        <v>29889</v>
      </c>
      <c r="D804" s="3">
        <v>121.89</v>
      </c>
      <c r="G804">
        <f t="shared" si="25"/>
        <v>10000</v>
      </c>
      <c r="H804">
        <f t="shared" si="26"/>
        <v>10</v>
      </c>
    </row>
    <row r="805" spans="1:8" x14ac:dyDescent="0.2">
      <c r="A805" s="2">
        <v>29921</v>
      </c>
      <c r="B805" s="3">
        <v>400</v>
      </c>
      <c r="C805" s="2">
        <v>29920</v>
      </c>
      <c r="D805" s="3">
        <v>126.35</v>
      </c>
      <c r="G805">
        <f t="shared" si="25"/>
        <v>10000</v>
      </c>
      <c r="H805">
        <f t="shared" si="26"/>
        <v>10</v>
      </c>
    </row>
    <row r="806" spans="1:8" x14ac:dyDescent="0.2">
      <c r="A806" s="2">
        <v>29952</v>
      </c>
      <c r="B806" s="3">
        <v>388.25</v>
      </c>
      <c r="C806" s="2">
        <v>29951</v>
      </c>
      <c r="D806" s="3">
        <v>122.55</v>
      </c>
      <c r="G806">
        <f t="shared" si="25"/>
        <v>10000</v>
      </c>
      <c r="H806">
        <f t="shared" si="26"/>
        <v>10</v>
      </c>
    </row>
    <row r="807" spans="1:8" x14ac:dyDescent="0.2">
      <c r="A807" s="2">
        <v>29983</v>
      </c>
      <c r="B807" s="3">
        <v>363.25</v>
      </c>
      <c r="C807" s="2">
        <v>29980</v>
      </c>
      <c r="D807" s="3">
        <v>120.4</v>
      </c>
      <c r="G807">
        <f t="shared" si="25"/>
        <v>10000</v>
      </c>
      <c r="H807">
        <f t="shared" si="26"/>
        <v>10</v>
      </c>
    </row>
    <row r="808" spans="1:8" x14ac:dyDescent="0.2">
      <c r="A808" s="2">
        <v>30011</v>
      </c>
      <c r="B808" s="3">
        <v>320.5</v>
      </c>
      <c r="C808" s="2">
        <v>30008</v>
      </c>
      <c r="D808" s="3">
        <v>113.11</v>
      </c>
      <c r="G808">
        <f t="shared" si="25"/>
        <v>10000</v>
      </c>
      <c r="H808">
        <f t="shared" si="26"/>
        <v>10</v>
      </c>
    </row>
    <row r="809" spans="1:8" x14ac:dyDescent="0.2">
      <c r="A809" s="2">
        <v>30042</v>
      </c>
      <c r="B809" s="3">
        <v>356.75</v>
      </c>
      <c r="C809" s="2">
        <v>30041</v>
      </c>
      <c r="D809" s="3">
        <v>111.96</v>
      </c>
      <c r="G809">
        <f t="shared" si="25"/>
        <v>10000</v>
      </c>
      <c r="H809">
        <f t="shared" si="26"/>
        <v>10</v>
      </c>
    </row>
    <row r="810" spans="1:8" x14ac:dyDescent="0.2">
      <c r="A810" s="2">
        <v>30072</v>
      </c>
      <c r="B810" s="3">
        <v>325.5</v>
      </c>
      <c r="C810" s="2">
        <v>30071</v>
      </c>
      <c r="D810" s="3">
        <v>116.44</v>
      </c>
      <c r="G810">
        <f t="shared" si="25"/>
        <v>10000</v>
      </c>
      <c r="H810">
        <f t="shared" si="26"/>
        <v>10</v>
      </c>
    </row>
    <row r="811" spans="1:8" x14ac:dyDescent="0.2">
      <c r="A811" s="2">
        <v>30103</v>
      </c>
      <c r="B811" s="3">
        <v>314</v>
      </c>
      <c r="C811" s="2">
        <v>30099</v>
      </c>
      <c r="D811" s="3">
        <v>111.88</v>
      </c>
      <c r="G811">
        <f t="shared" si="25"/>
        <v>10000</v>
      </c>
      <c r="H811">
        <f t="shared" si="26"/>
        <v>10</v>
      </c>
    </row>
    <row r="812" spans="1:8" x14ac:dyDescent="0.2">
      <c r="A812" s="2">
        <v>30133</v>
      </c>
      <c r="B812" s="3">
        <v>342.5</v>
      </c>
      <c r="C812" s="2">
        <v>30132</v>
      </c>
      <c r="D812" s="3">
        <v>109.61</v>
      </c>
      <c r="G812">
        <f t="shared" si="25"/>
        <v>10000</v>
      </c>
      <c r="H812">
        <f t="shared" si="26"/>
        <v>10</v>
      </c>
    </row>
    <row r="813" spans="1:8" x14ac:dyDescent="0.2">
      <c r="A813" s="2">
        <v>30164</v>
      </c>
      <c r="B813" s="3">
        <v>409.6</v>
      </c>
      <c r="C813" s="2">
        <v>30162</v>
      </c>
      <c r="D813" s="3">
        <v>107.09</v>
      </c>
      <c r="G813">
        <f t="shared" si="25"/>
        <v>10000</v>
      </c>
      <c r="H813">
        <f t="shared" si="26"/>
        <v>10</v>
      </c>
    </row>
    <row r="814" spans="1:8" x14ac:dyDescent="0.2">
      <c r="A814" s="2">
        <v>30195</v>
      </c>
      <c r="B814" s="3">
        <v>394.75</v>
      </c>
      <c r="C814" s="2">
        <v>30194</v>
      </c>
      <c r="D814" s="3">
        <v>119.51</v>
      </c>
      <c r="G814">
        <f t="shared" si="25"/>
        <v>10000</v>
      </c>
      <c r="H814">
        <f t="shared" si="26"/>
        <v>10</v>
      </c>
    </row>
    <row r="815" spans="1:8" x14ac:dyDescent="0.2">
      <c r="A815" s="2">
        <v>30225</v>
      </c>
      <c r="B815" s="3">
        <v>422</v>
      </c>
      <c r="C815" s="2">
        <v>30224</v>
      </c>
      <c r="D815" s="3">
        <v>120.42</v>
      </c>
      <c r="G815">
        <f t="shared" si="25"/>
        <v>10000</v>
      </c>
      <c r="H815">
        <f t="shared" si="26"/>
        <v>10</v>
      </c>
    </row>
    <row r="816" spans="1:8" x14ac:dyDescent="0.2">
      <c r="A816" s="2">
        <v>30256</v>
      </c>
      <c r="B816" s="3">
        <v>428.25</v>
      </c>
      <c r="C816" s="2">
        <v>30253</v>
      </c>
      <c r="D816" s="3">
        <v>133.72</v>
      </c>
      <c r="G816">
        <f t="shared" si="25"/>
        <v>10000</v>
      </c>
      <c r="H816">
        <f t="shared" si="26"/>
        <v>10</v>
      </c>
    </row>
    <row r="817" spans="1:8" x14ac:dyDescent="0.2">
      <c r="A817" s="2">
        <v>30286</v>
      </c>
      <c r="B817" s="3">
        <v>448</v>
      </c>
      <c r="C817" s="2">
        <v>30285</v>
      </c>
      <c r="D817" s="3">
        <v>138.53</v>
      </c>
      <c r="G817">
        <f t="shared" si="25"/>
        <v>10000</v>
      </c>
      <c r="H817">
        <f t="shared" si="26"/>
        <v>10</v>
      </c>
    </row>
    <row r="818" spans="1:8" x14ac:dyDescent="0.2">
      <c r="A818" s="2">
        <v>30317</v>
      </c>
      <c r="B818" s="3">
        <v>503</v>
      </c>
      <c r="C818" s="2">
        <v>30316</v>
      </c>
      <c r="D818" s="3">
        <v>140.63999999999999</v>
      </c>
      <c r="G818">
        <f t="shared" si="25"/>
        <v>10</v>
      </c>
      <c r="H818">
        <f t="shared" si="26"/>
        <v>10000</v>
      </c>
    </row>
    <row r="819" spans="1:8" x14ac:dyDescent="0.2">
      <c r="A819" s="2">
        <v>30348</v>
      </c>
      <c r="B819" s="3">
        <v>419.75</v>
      </c>
      <c r="C819" s="2">
        <v>30347</v>
      </c>
      <c r="D819" s="3">
        <v>145.30000000000001</v>
      </c>
      <c r="G819">
        <f t="shared" si="25"/>
        <v>10</v>
      </c>
      <c r="H819">
        <f t="shared" si="26"/>
        <v>10000</v>
      </c>
    </row>
    <row r="820" spans="1:8" x14ac:dyDescent="0.2">
      <c r="A820" s="2">
        <v>30376</v>
      </c>
      <c r="B820" s="3">
        <v>414.25</v>
      </c>
      <c r="C820" s="2">
        <v>30375</v>
      </c>
      <c r="D820" s="3">
        <v>148.06</v>
      </c>
      <c r="G820">
        <f t="shared" si="25"/>
        <v>10</v>
      </c>
      <c r="H820">
        <f t="shared" si="26"/>
        <v>10000</v>
      </c>
    </row>
    <row r="821" spans="1:8" x14ac:dyDescent="0.2">
      <c r="A821" s="2">
        <v>30407</v>
      </c>
      <c r="B821" s="3">
        <v>428.5</v>
      </c>
      <c r="C821" s="2">
        <v>30406</v>
      </c>
      <c r="D821" s="3">
        <v>152.96</v>
      </c>
      <c r="G821">
        <f t="shared" si="25"/>
        <v>10</v>
      </c>
      <c r="H821">
        <f t="shared" si="26"/>
        <v>10000</v>
      </c>
    </row>
    <row r="822" spans="1:8" x14ac:dyDescent="0.2">
      <c r="A822" s="2">
        <v>30437</v>
      </c>
      <c r="B822" s="3">
        <v>439</v>
      </c>
      <c r="C822" s="2">
        <v>30435</v>
      </c>
      <c r="D822" s="3">
        <v>164.43</v>
      </c>
      <c r="G822">
        <f t="shared" si="25"/>
        <v>10</v>
      </c>
      <c r="H822">
        <f t="shared" si="26"/>
        <v>10000</v>
      </c>
    </row>
    <row r="823" spans="1:8" x14ac:dyDescent="0.2">
      <c r="A823" s="2">
        <v>30468</v>
      </c>
      <c r="B823" s="3">
        <v>416.75</v>
      </c>
      <c r="C823" s="2">
        <v>30467</v>
      </c>
      <c r="D823" s="3">
        <v>162.38999999999999</v>
      </c>
      <c r="G823">
        <f t="shared" si="25"/>
        <v>10</v>
      </c>
      <c r="H823">
        <f t="shared" si="26"/>
        <v>10000</v>
      </c>
    </row>
    <row r="824" spans="1:8" x14ac:dyDescent="0.2">
      <c r="A824" s="2">
        <v>30498</v>
      </c>
      <c r="B824" s="3">
        <v>422.25</v>
      </c>
      <c r="C824" s="2">
        <v>30497</v>
      </c>
      <c r="D824" s="3">
        <v>167.64</v>
      </c>
      <c r="G824">
        <f t="shared" si="25"/>
        <v>10</v>
      </c>
      <c r="H824">
        <f t="shared" si="26"/>
        <v>10000</v>
      </c>
    </row>
    <row r="825" spans="1:8" x14ac:dyDescent="0.2">
      <c r="A825" s="2">
        <v>30529</v>
      </c>
      <c r="B825" s="3">
        <v>414.5</v>
      </c>
      <c r="C825" s="2">
        <v>30526</v>
      </c>
      <c r="D825" s="3">
        <v>162.56</v>
      </c>
      <c r="G825">
        <f t="shared" si="25"/>
        <v>10</v>
      </c>
      <c r="H825">
        <f t="shared" si="26"/>
        <v>10000</v>
      </c>
    </row>
    <row r="826" spans="1:8" x14ac:dyDescent="0.2">
      <c r="A826" s="2">
        <v>30560</v>
      </c>
      <c r="B826" s="3">
        <v>404</v>
      </c>
      <c r="C826" s="2">
        <v>30559</v>
      </c>
      <c r="D826" s="3">
        <v>164.4</v>
      </c>
      <c r="G826">
        <f t="shared" si="25"/>
        <v>10</v>
      </c>
      <c r="H826">
        <f t="shared" si="26"/>
        <v>10000</v>
      </c>
    </row>
    <row r="827" spans="1:8" x14ac:dyDescent="0.2">
      <c r="A827" s="2">
        <v>30590</v>
      </c>
      <c r="B827" s="3">
        <v>383.5</v>
      </c>
      <c r="C827" s="2">
        <v>30589</v>
      </c>
      <c r="D827" s="3">
        <v>166.07</v>
      </c>
      <c r="G827">
        <f t="shared" si="25"/>
        <v>10</v>
      </c>
      <c r="H827">
        <f t="shared" si="26"/>
        <v>10000</v>
      </c>
    </row>
    <row r="828" spans="1:8" x14ac:dyDescent="0.2">
      <c r="A828" s="2">
        <v>30621</v>
      </c>
      <c r="B828" s="3">
        <v>405.75</v>
      </c>
      <c r="C828" s="2">
        <v>30620</v>
      </c>
      <c r="D828" s="3">
        <v>163.55000000000001</v>
      </c>
      <c r="G828">
        <f t="shared" si="25"/>
        <v>10</v>
      </c>
      <c r="H828">
        <f t="shared" si="26"/>
        <v>10000</v>
      </c>
    </row>
    <row r="829" spans="1:8" x14ac:dyDescent="0.2">
      <c r="A829" s="2">
        <v>30651</v>
      </c>
      <c r="B829" s="3">
        <v>381.5</v>
      </c>
      <c r="C829" s="2">
        <v>30650</v>
      </c>
      <c r="D829" s="3">
        <v>166.4</v>
      </c>
      <c r="G829">
        <f t="shared" si="25"/>
        <v>10</v>
      </c>
      <c r="H829">
        <f t="shared" si="26"/>
        <v>10000</v>
      </c>
    </row>
    <row r="830" spans="1:8" x14ac:dyDescent="0.2">
      <c r="A830" s="2">
        <v>30682</v>
      </c>
      <c r="B830" s="3">
        <v>371.9</v>
      </c>
      <c r="C830" s="2">
        <v>30680</v>
      </c>
      <c r="D830" s="3">
        <v>164.93</v>
      </c>
      <c r="G830">
        <f t="shared" si="25"/>
        <v>10</v>
      </c>
      <c r="H830">
        <f t="shared" si="26"/>
        <v>10000</v>
      </c>
    </row>
    <row r="831" spans="1:8" x14ac:dyDescent="0.2">
      <c r="A831" s="2">
        <v>30713</v>
      </c>
      <c r="B831" s="3">
        <v>396.6</v>
      </c>
      <c r="C831" s="2">
        <v>30712</v>
      </c>
      <c r="D831" s="3">
        <v>163.41</v>
      </c>
      <c r="G831">
        <f t="shared" si="25"/>
        <v>10</v>
      </c>
      <c r="H831">
        <f t="shared" si="26"/>
        <v>10000</v>
      </c>
    </row>
    <row r="832" spans="1:8" x14ac:dyDescent="0.2">
      <c r="A832" s="2">
        <v>30742</v>
      </c>
      <c r="B832" s="3">
        <v>388.5</v>
      </c>
      <c r="C832" s="2">
        <v>30741</v>
      </c>
      <c r="D832" s="3">
        <v>157.06</v>
      </c>
      <c r="G832">
        <f t="shared" si="25"/>
        <v>10</v>
      </c>
      <c r="H832">
        <f t="shared" si="26"/>
        <v>10000</v>
      </c>
    </row>
    <row r="833" spans="1:8" x14ac:dyDescent="0.2">
      <c r="A833" s="2">
        <v>30773</v>
      </c>
      <c r="B833" s="3">
        <v>376.2</v>
      </c>
      <c r="C833" s="2">
        <v>30771</v>
      </c>
      <c r="D833" s="3">
        <v>159.18</v>
      </c>
      <c r="G833">
        <f t="shared" si="25"/>
        <v>10</v>
      </c>
      <c r="H833">
        <f t="shared" si="26"/>
        <v>10000</v>
      </c>
    </row>
    <row r="834" spans="1:8" x14ac:dyDescent="0.2">
      <c r="A834" s="2">
        <v>30803</v>
      </c>
      <c r="B834" s="3">
        <v>383.45</v>
      </c>
      <c r="C834" s="2">
        <v>30802</v>
      </c>
      <c r="D834" s="3">
        <v>160.05000000000001</v>
      </c>
      <c r="G834">
        <f t="shared" si="25"/>
        <v>10</v>
      </c>
      <c r="H834">
        <f t="shared" si="26"/>
        <v>10000</v>
      </c>
    </row>
    <row r="835" spans="1:8" x14ac:dyDescent="0.2">
      <c r="A835" s="2">
        <v>30834</v>
      </c>
      <c r="B835" s="3">
        <v>375.25</v>
      </c>
      <c r="C835" s="2">
        <v>30833</v>
      </c>
      <c r="D835" s="3">
        <v>150.55000000000001</v>
      </c>
      <c r="G835">
        <f t="shared" ref="G835:G898" si="27">IF(AND(A835&gt;=DATE(1973,1,1), A835&lt;=DATE(1982,12,31)), 10000, 10)</f>
        <v>10</v>
      </c>
      <c r="H835">
        <f t="shared" ref="H835:H898" si="28">IF(AND(A835&gt;=DATE(1983,1,1), A835&lt;=DATE(2007,12,31)), 10000, 10)</f>
        <v>10000</v>
      </c>
    </row>
    <row r="836" spans="1:8" x14ac:dyDescent="0.2">
      <c r="A836" s="2">
        <v>30864</v>
      </c>
      <c r="B836" s="3">
        <v>341.6</v>
      </c>
      <c r="C836" s="2">
        <v>30862</v>
      </c>
      <c r="D836" s="3">
        <v>153.18</v>
      </c>
      <c r="G836">
        <f t="shared" si="27"/>
        <v>10</v>
      </c>
      <c r="H836">
        <f t="shared" si="28"/>
        <v>10000</v>
      </c>
    </row>
    <row r="837" spans="1:8" x14ac:dyDescent="0.2">
      <c r="A837" s="2">
        <v>30895</v>
      </c>
      <c r="B837" s="3">
        <v>347.7</v>
      </c>
      <c r="C837" s="2">
        <v>30894</v>
      </c>
      <c r="D837" s="3">
        <v>150.66</v>
      </c>
      <c r="G837">
        <f t="shared" si="27"/>
        <v>10</v>
      </c>
      <c r="H837">
        <f t="shared" si="28"/>
        <v>10000</v>
      </c>
    </row>
    <row r="838" spans="1:8" x14ac:dyDescent="0.2">
      <c r="A838" s="2">
        <v>30926</v>
      </c>
      <c r="B838" s="3">
        <v>344.15</v>
      </c>
      <c r="C838" s="2">
        <v>30925</v>
      </c>
      <c r="D838" s="3">
        <v>166.68</v>
      </c>
      <c r="G838">
        <f t="shared" si="27"/>
        <v>10</v>
      </c>
      <c r="H838">
        <f t="shared" si="28"/>
        <v>10000</v>
      </c>
    </row>
    <row r="839" spans="1:8" x14ac:dyDescent="0.2">
      <c r="A839" s="2">
        <v>30956</v>
      </c>
      <c r="B839" s="3">
        <v>334.5</v>
      </c>
      <c r="C839" s="2">
        <v>30953</v>
      </c>
      <c r="D839" s="3">
        <v>166.1</v>
      </c>
      <c r="G839">
        <f t="shared" si="27"/>
        <v>10</v>
      </c>
      <c r="H839">
        <f t="shared" si="28"/>
        <v>10000</v>
      </c>
    </row>
    <row r="840" spans="1:8" x14ac:dyDescent="0.2">
      <c r="A840" s="2">
        <v>30987</v>
      </c>
      <c r="B840" s="3">
        <v>328.6</v>
      </c>
      <c r="C840" s="2">
        <v>30986</v>
      </c>
      <c r="D840" s="3">
        <v>166.09</v>
      </c>
      <c r="G840">
        <f t="shared" si="27"/>
        <v>10</v>
      </c>
      <c r="H840">
        <f t="shared" si="28"/>
        <v>10000</v>
      </c>
    </row>
    <row r="841" spans="1:8" x14ac:dyDescent="0.2">
      <c r="A841" s="2">
        <v>31017</v>
      </c>
      <c r="B841" s="3">
        <v>309</v>
      </c>
      <c r="C841" s="2">
        <v>31016</v>
      </c>
      <c r="D841" s="3">
        <v>163.58000000000001</v>
      </c>
      <c r="G841">
        <f t="shared" si="27"/>
        <v>10</v>
      </c>
      <c r="H841">
        <f t="shared" si="28"/>
        <v>10000</v>
      </c>
    </row>
    <row r="842" spans="1:8" x14ac:dyDescent="0.2">
      <c r="A842" s="2">
        <v>31048</v>
      </c>
      <c r="B842" s="3">
        <v>304.89999999999998</v>
      </c>
      <c r="C842" s="2">
        <v>31047</v>
      </c>
      <c r="D842" s="3">
        <v>167.24</v>
      </c>
      <c r="G842">
        <f t="shared" si="27"/>
        <v>10</v>
      </c>
      <c r="H842">
        <f t="shared" si="28"/>
        <v>10000</v>
      </c>
    </row>
    <row r="843" spans="1:8" x14ac:dyDescent="0.2">
      <c r="A843" s="2">
        <v>31079</v>
      </c>
      <c r="B843" s="3">
        <v>290.5</v>
      </c>
      <c r="C843" s="2">
        <v>31078</v>
      </c>
      <c r="D843" s="3">
        <v>179.63</v>
      </c>
      <c r="G843">
        <f t="shared" si="27"/>
        <v>10</v>
      </c>
      <c r="H843">
        <f t="shared" si="28"/>
        <v>10000</v>
      </c>
    </row>
    <row r="844" spans="1:8" x14ac:dyDescent="0.2">
      <c r="A844" s="2">
        <v>31107</v>
      </c>
      <c r="B844" s="3">
        <v>329.8</v>
      </c>
      <c r="C844" s="2">
        <v>31106</v>
      </c>
      <c r="D844" s="3">
        <v>181.18</v>
      </c>
      <c r="G844">
        <f t="shared" si="27"/>
        <v>10</v>
      </c>
      <c r="H844">
        <f t="shared" si="28"/>
        <v>10000</v>
      </c>
    </row>
    <row r="845" spans="1:8" x14ac:dyDescent="0.2">
      <c r="A845" s="2">
        <v>31138</v>
      </c>
      <c r="B845" s="3">
        <v>324.64999999999998</v>
      </c>
      <c r="C845" s="2">
        <v>31135</v>
      </c>
      <c r="D845" s="3">
        <v>180.66</v>
      </c>
      <c r="G845">
        <f t="shared" si="27"/>
        <v>10</v>
      </c>
      <c r="H845">
        <f t="shared" si="28"/>
        <v>10000</v>
      </c>
    </row>
    <row r="846" spans="1:8" x14ac:dyDescent="0.2">
      <c r="A846" s="2">
        <v>31168</v>
      </c>
      <c r="B846" s="3">
        <v>313.14999999999998</v>
      </c>
      <c r="C846" s="2">
        <v>31167</v>
      </c>
      <c r="D846" s="3">
        <v>179.83</v>
      </c>
      <c r="G846">
        <f t="shared" si="27"/>
        <v>10</v>
      </c>
      <c r="H846">
        <f t="shared" si="28"/>
        <v>10000</v>
      </c>
    </row>
    <row r="847" spans="1:8" x14ac:dyDescent="0.2">
      <c r="A847" s="2">
        <v>31199</v>
      </c>
      <c r="B847" s="3">
        <v>316.5</v>
      </c>
      <c r="C847" s="2">
        <v>31198</v>
      </c>
      <c r="D847" s="3">
        <v>189.55</v>
      </c>
      <c r="G847">
        <f t="shared" si="27"/>
        <v>10</v>
      </c>
      <c r="H847">
        <f t="shared" si="28"/>
        <v>10000</v>
      </c>
    </row>
    <row r="848" spans="1:8" x14ac:dyDescent="0.2">
      <c r="A848" s="2">
        <v>31229</v>
      </c>
      <c r="B848" s="3">
        <v>328.1</v>
      </c>
      <c r="C848" s="2">
        <v>31226</v>
      </c>
      <c r="D848" s="3">
        <v>191.85</v>
      </c>
      <c r="G848">
        <f t="shared" si="27"/>
        <v>10</v>
      </c>
      <c r="H848">
        <f t="shared" si="28"/>
        <v>10000</v>
      </c>
    </row>
    <row r="849" spans="1:8" x14ac:dyDescent="0.2">
      <c r="A849" s="2">
        <v>31260</v>
      </c>
      <c r="B849" s="3">
        <v>335.75</v>
      </c>
      <c r="C849" s="2">
        <v>31259</v>
      </c>
      <c r="D849" s="3">
        <v>190.92</v>
      </c>
      <c r="G849">
        <f t="shared" si="27"/>
        <v>10</v>
      </c>
      <c r="H849">
        <f t="shared" si="28"/>
        <v>10000</v>
      </c>
    </row>
    <row r="850" spans="1:8" x14ac:dyDescent="0.2">
      <c r="A850" s="2">
        <v>31291</v>
      </c>
      <c r="B850" s="3">
        <v>326.5</v>
      </c>
      <c r="C850" s="2">
        <v>31289</v>
      </c>
      <c r="D850" s="3">
        <v>188.63</v>
      </c>
      <c r="G850">
        <f t="shared" si="27"/>
        <v>10</v>
      </c>
      <c r="H850">
        <f t="shared" si="28"/>
        <v>10000</v>
      </c>
    </row>
    <row r="851" spans="1:8" x14ac:dyDescent="0.2">
      <c r="A851" s="2">
        <v>31321</v>
      </c>
      <c r="B851" s="3">
        <v>325.75</v>
      </c>
      <c r="C851" s="2">
        <v>31320</v>
      </c>
      <c r="D851" s="3">
        <v>182.08</v>
      </c>
      <c r="G851">
        <f t="shared" si="27"/>
        <v>10</v>
      </c>
      <c r="H851">
        <f t="shared" si="28"/>
        <v>10000</v>
      </c>
    </row>
    <row r="852" spans="1:8" x14ac:dyDescent="0.2">
      <c r="A852" s="2">
        <v>31352</v>
      </c>
      <c r="B852" s="3">
        <v>327.39999999999998</v>
      </c>
      <c r="C852" s="2">
        <v>31351</v>
      </c>
      <c r="D852" s="3">
        <v>189.82</v>
      </c>
      <c r="G852">
        <f t="shared" si="27"/>
        <v>10</v>
      </c>
      <c r="H852">
        <f t="shared" si="28"/>
        <v>10000</v>
      </c>
    </row>
    <row r="853" spans="1:8" x14ac:dyDescent="0.2">
      <c r="A853" s="2">
        <v>31382</v>
      </c>
      <c r="B853" s="3">
        <v>327</v>
      </c>
      <c r="C853" s="2">
        <v>31380</v>
      </c>
      <c r="D853" s="3">
        <v>202.17</v>
      </c>
      <c r="G853">
        <f t="shared" si="27"/>
        <v>10</v>
      </c>
      <c r="H853">
        <f t="shared" si="28"/>
        <v>10000</v>
      </c>
    </row>
    <row r="854" spans="1:8" x14ac:dyDescent="0.2">
      <c r="A854" s="2">
        <v>31413</v>
      </c>
      <c r="B854" s="3">
        <v>354</v>
      </c>
      <c r="C854" s="2">
        <v>31412</v>
      </c>
      <c r="D854" s="3">
        <v>211.28</v>
      </c>
      <c r="G854">
        <f t="shared" si="27"/>
        <v>10</v>
      </c>
      <c r="H854">
        <f t="shared" si="28"/>
        <v>10000</v>
      </c>
    </row>
    <row r="855" spans="1:8" x14ac:dyDescent="0.2">
      <c r="A855" s="2">
        <v>31444</v>
      </c>
      <c r="B855" s="3">
        <v>338.25</v>
      </c>
      <c r="C855" s="2">
        <v>31443</v>
      </c>
      <c r="D855" s="3">
        <v>211.78</v>
      </c>
      <c r="G855">
        <f t="shared" si="27"/>
        <v>10</v>
      </c>
      <c r="H855">
        <f t="shared" si="28"/>
        <v>10000</v>
      </c>
    </row>
    <row r="856" spans="1:8" x14ac:dyDescent="0.2">
      <c r="A856" s="2">
        <v>31472</v>
      </c>
      <c r="B856" s="3">
        <v>345.5</v>
      </c>
      <c r="C856" s="2">
        <v>31471</v>
      </c>
      <c r="D856" s="3">
        <v>226.92</v>
      </c>
      <c r="G856">
        <f t="shared" si="27"/>
        <v>10</v>
      </c>
      <c r="H856">
        <f t="shared" si="28"/>
        <v>10000</v>
      </c>
    </row>
    <row r="857" spans="1:8" x14ac:dyDescent="0.2">
      <c r="A857" s="2">
        <v>31503</v>
      </c>
      <c r="B857" s="3">
        <v>344.75</v>
      </c>
      <c r="C857" s="2">
        <v>31502</v>
      </c>
      <c r="D857" s="3">
        <v>238.9</v>
      </c>
      <c r="G857">
        <f t="shared" si="27"/>
        <v>10</v>
      </c>
      <c r="H857">
        <f t="shared" si="28"/>
        <v>10000</v>
      </c>
    </row>
    <row r="858" spans="1:8" x14ac:dyDescent="0.2">
      <c r="A858" s="2">
        <v>31533</v>
      </c>
      <c r="B858" s="3">
        <v>343.35</v>
      </c>
      <c r="C858" s="2">
        <v>31532</v>
      </c>
      <c r="D858" s="3">
        <v>235.52</v>
      </c>
      <c r="G858">
        <f t="shared" si="27"/>
        <v>10</v>
      </c>
      <c r="H858">
        <f t="shared" si="28"/>
        <v>10000</v>
      </c>
    </row>
    <row r="859" spans="1:8" x14ac:dyDescent="0.2">
      <c r="A859" s="2">
        <v>31564</v>
      </c>
      <c r="B859" s="3">
        <v>345.5</v>
      </c>
      <c r="C859" s="2">
        <v>31562</v>
      </c>
      <c r="D859" s="3">
        <v>247.35</v>
      </c>
      <c r="G859">
        <f t="shared" si="27"/>
        <v>10</v>
      </c>
      <c r="H859">
        <f t="shared" si="28"/>
        <v>10000</v>
      </c>
    </row>
    <row r="860" spans="1:8" x14ac:dyDescent="0.2">
      <c r="A860" s="2">
        <v>31594</v>
      </c>
      <c r="B860" s="3">
        <v>357.75</v>
      </c>
      <c r="C860" s="2">
        <v>31593</v>
      </c>
      <c r="D860" s="3">
        <v>250.84</v>
      </c>
      <c r="G860">
        <f t="shared" si="27"/>
        <v>10</v>
      </c>
      <c r="H860">
        <f t="shared" si="28"/>
        <v>10000</v>
      </c>
    </row>
    <row r="861" spans="1:8" x14ac:dyDescent="0.2">
      <c r="A861" s="2">
        <v>31625</v>
      </c>
      <c r="B861" s="3">
        <v>386</v>
      </c>
      <c r="C861" s="2">
        <v>31624</v>
      </c>
      <c r="D861" s="3">
        <v>236.12</v>
      </c>
      <c r="G861">
        <f t="shared" si="27"/>
        <v>10</v>
      </c>
      <c r="H861">
        <f t="shared" si="28"/>
        <v>10000</v>
      </c>
    </row>
    <row r="862" spans="1:8" x14ac:dyDescent="0.2">
      <c r="A862" s="2">
        <v>31656</v>
      </c>
      <c r="B862" s="3">
        <v>421.2</v>
      </c>
      <c r="C862" s="2">
        <v>31653</v>
      </c>
      <c r="D862" s="3">
        <v>252.93</v>
      </c>
      <c r="G862">
        <f t="shared" si="27"/>
        <v>10</v>
      </c>
      <c r="H862">
        <f t="shared" si="28"/>
        <v>10000</v>
      </c>
    </row>
    <row r="863" spans="1:8" x14ac:dyDescent="0.2">
      <c r="A863" s="2">
        <v>31686</v>
      </c>
      <c r="B863" s="3">
        <v>401.5</v>
      </c>
      <c r="C863" s="2">
        <v>31685</v>
      </c>
      <c r="D863" s="3">
        <v>231.32</v>
      </c>
      <c r="G863">
        <f t="shared" si="27"/>
        <v>10</v>
      </c>
      <c r="H863">
        <f t="shared" si="28"/>
        <v>10000</v>
      </c>
    </row>
    <row r="864" spans="1:8" x14ac:dyDescent="0.2">
      <c r="A864" s="2">
        <v>31717</v>
      </c>
      <c r="B864" s="3">
        <v>390</v>
      </c>
      <c r="C864" s="2">
        <v>31716</v>
      </c>
      <c r="D864" s="3">
        <v>243.98</v>
      </c>
      <c r="G864">
        <f t="shared" si="27"/>
        <v>10</v>
      </c>
      <c r="H864">
        <f t="shared" si="28"/>
        <v>10000</v>
      </c>
    </row>
    <row r="865" spans="1:8" x14ac:dyDescent="0.2">
      <c r="A865" s="2">
        <v>31747</v>
      </c>
      <c r="B865" s="3">
        <v>390.9</v>
      </c>
      <c r="C865" s="2">
        <v>31744</v>
      </c>
      <c r="D865" s="3">
        <v>249.22</v>
      </c>
      <c r="G865">
        <f t="shared" si="27"/>
        <v>10</v>
      </c>
      <c r="H865">
        <f t="shared" si="28"/>
        <v>10000</v>
      </c>
    </row>
    <row r="866" spans="1:8" x14ac:dyDescent="0.2">
      <c r="A866" s="2">
        <v>31778</v>
      </c>
      <c r="B866" s="3">
        <v>407.3</v>
      </c>
      <c r="C866" s="2">
        <v>31777</v>
      </c>
      <c r="D866" s="3">
        <v>242.17</v>
      </c>
      <c r="G866">
        <f t="shared" si="27"/>
        <v>10</v>
      </c>
      <c r="H866">
        <f t="shared" si="28"/>
        <v>10000</v>
      </c>
    </row>
    <row r="867" spans="1:8" x14ac:dyDescent="0.2">
      <c r="A867" s="2">
        <v>31809</v>
      </c>
      <c r="B867" s="3">
        <v>405.75</v>
      </c>
      <c r="C867" s="2">
        <v>31807</v>
      </c>
      <c r="D867" s="3">
        <v>274.08</v>
      </c>
      <c r="G867">
        <f t="shared" si="27"/>
        <v>10</v>
      </c>
      <c r="H867">
        <f t="shared" si="28"/>
        <v>10000</v>
      </c>
    </row>
    <row r="868" spans="1:8" x14ac:dyDescent="0.2">
      <c r="A868" s="2">
        <v>31837</v>
      </c>
      <c r="B868" s="3">
        <v>419</v>
      </c>
      <c r="C868" s="2">
        <v>31835</v>
      </c>
      <c r="D868" s="3">
        <v>284.2</v>
      </c>
      <c r="G868">
        <f t="shared" si="27"/>
        <v>10</v>
      </c>
      <c r="H868">
        <f t="shared" si="28"/>
        <v>10000</v>
      </c>
    </row>
    <row r="869" spans="1:8" x14ac:dyDescent="0.2">
      <c r="A869" s="2">
        <v>31868</v>
      </c>
      <c r="B869" s="3">
        <v>454.5</v>
      </c>
      <c r="C869" s="2">
        <v>31867</v>
      </c>
      <c r="D869" s="3">
        <v>291.7</v>
      </c>
      <c r="G869">
        <f t="shared" si="27"/>
        <v>10</v>
      </c>
      <c r="H869">
        <f t="shared" si="28"/>
        <v>10000</v>
      </c>
    </row>
    <row r="870" spans="1:8" x14ac:dyDescent="0.2">
      <c r="A870" s="2">
        <v>31898</v>
      </c>
      <c r="B870" s="3">
        <v>451.75</v>
      </c>
      <c r="C870" s="2">
        <v>31897</v>
      </c>
      <c r="D870" s="3">
        <v>288.36</v>
      </c>
      <c r="G870">
        <f t="shared" si="27"/>
        <v>10</v>
      </c>
      <c r="H870">
        <f t="shared" si="28"/>
        <v>10000</v>
      </c>
    </row>
    <row r="871" spans="1:8" x14ac:dyDescent="0.2">
      <c r="A871" s="2">
        <v>31929</v>
      </c>
      <c r="B871" s="3">
        <v>447.1</v>
      </c>
      <c r="C871" s="2">
        <v>31926</v>
      </c>
      <c r="D871" s="3">
        <v>290.10000000000002</v>
      </c>
      <c r="G871">
        <f t="shared" si="27"/>
        <v>10</v>
      </c>
      <c r="H871">
        <f t="shared" si="28"/>
        <v>10000</v>
      </c>
    </row>
    <row r="872" spans="1:8" x14ac:dyDescent="0.2">
      <c r="A872" s="2">
        <v>31959</v>
      </c>
      <c r="B872" s="3">
        <v>464.25</v>
      </c>
      <c r="C872" s="2">
        <v>31958</v>
      </c>
      <c r="D872" s="3">
        <v>304</v>
      </c>
      <c r="G872">
        <f t="shared" si="27"/>
        <v>10</v>
      </c>
      <c r="H872">
        <f t="shared" si="28"/>
        <v>10000</v>
      </c>
    </row>
    <row r="873" spans="1:8" x14ac:dyDescent="0.2">
      <c r="A873" s="2">
        <v>31990</v>
      </c>
      <c r="B873" s="3">
        <v>455.9</v>
      </c>
      <c r="C873" s="2">
        <v>31989</v>
      </c>
      <c r="D873" s="3">
        <v>318.66000000000003</v>
      </c>
      <c r="G873">
        <f t="shared" si="27"/>
        <v>10</v>
      </c>
      <c r="H873">
        <f t="shared" si="28"/>
        <v>10000</v>
      </c>
    </row>
    <row r="874" spans="1:8" x14ac:dyDescent="0.2">
      <c r="A874" s="2">
        <v>32021</v>
      </c>
      <c r="B874" s="3">
        <v>459.15</v>
      </c>
      <c r="C874" s="2">
        <v>32020</v>
      </c>
      <c r="D874" s="3">
        <v>329.8</v>
      </c>
      <c r="G874">
        <f t="shared" si="27"/>
        <v>10</v>
      </c>
      <c r="H874">
        <f t="shared" si="28"/>
        <v>10000</v>
      </c>
    </row>
    <row r="875" spans="1:8" x14ac:dyDescent="0.2">
      <c r="A875" s="2">
        <v>32051</v>
      </c>
      <c r="B875" s="3">
        <v>468</v>
      </c>
      <c r="C875" s="2">
        <v>32050</v>
      </c>
      <c r="D875" s="3">
        <v>321.83</v>
      </c>
      <c r="G875">
        <f t="shared" si="27"/>
        <v>10</v>
      </c>
      <c r="H875">
        <f t="shared" si="28"/>
        <v>10000</v>
      </c>
    </row>
    <row r="876" spans="1:8" x14ac:dyDescent="0.2">
      <c r="A876" s="2">
        <v>32082</v>
      </c>
      <c r="B876" s="3">
        <v>493.9</v>
      </c>
      <c r="C876" s="2">
        <v>32080</v>
      </c>
      <c r="D876" s="3">
        <v>251.79</v>
      </c>
      <c r="G876">
        <f t="shared" si="27"/>
        <v>10</v>
      </c>
      <c r="H876">
        <f t="shared" si="28"/>
        <v>10000</v>
      </c>
    </row>
    <row r="877" spans="1:8" x14ac:dyDescent="0.2">
      <c r="A877" s="2">
        <v>32112</v>
      </c>
      <c r="B877" s="3">
        <v>486.5</v>
      </c>
      <c r="C877" s="2">
        <v>32111</v>
      </c>
      <c r="D877" s="3">
        <v>230.3</v>
      </c>
      <c r="G877">
        <f t="shared" si="27"/>
        <v>10</v>
      </c>
      <c r="H877">
        <f t="shared" si="28"/>
        <v>10000</v>
      </c>
    </row>
    <row r="878" spans="1:8" x14ac:dyDescent="0.2">
      <c r="A878" s="2">
        <v>32143</v>
      </c>
      <c r="B878" s="3">
        <v>465.25</v>
      </c>
      <c r="C878" s="2">
        <v>32142</v>
      </c>
      <c r="D878" s="3">
        <v>247.08</v>
      </c>
      <c r="G878">
        <f t="shared" si="27"/>
        <v>10</v>
      </c>
      <c r="H878">
        <f t="shared" si="28"/>
        <v>10000</v>
      </c>
    </row>
    <row r="879" spans="1:8" x14ac:dyDescent="0.2">
      <c r="A879" s="2">
        <v>32174</v>
      </c>
      <c r="B879" s="3">
        <v>423.75</v>
      </c>
      <c r="C879" s="2">
        <v>32171</v>
      </c>
      <c r="D879" s="3">
        <v>257.07</v>
      </c>
      <c r="G879">
        <f t="shared" si="27"/>
        <v>10</v>
      </c>
      <c r="H879">
        <f t="shared" si="28"/>
        <v>10000</v>
      </c>
    </row>
    <row r="880" spans="1:8" x14ac:dyDescent="0.2">
      <c r="A880" s="2">
        <v>32203</v>
      </c>
      <c r="B880" s="3">
        <v>458</v>
      </c>
      <c r="C880" s="2">
        <v>32202</v>
      </c>
      <c r="D880" s="3">
        <v>267.82</v>
      </c>
      <c r="G880">
        <f t="shared" si="27"/>
        <v>10</v>
      </c>
      <c r="H880">
        <f t="shared" si="28"/>
        <v>10000</v>
      </c>
    </row>
    <row r="881" spans="1:8" x14ac:dyDescent="0.2">
      <c r="A881" s="2">
        <v>32234</v>
      </c>
      <c r="B881" s="3">
        <v>449.75</v>
      </c>
      <c r="C881" s="2">
        <v>32233</v>
      </c>
      <c r="D881" s="3">
        <v>258.89</v>
      </c>
      <c r="G881">
        <f t="shared" si="27"/>
        <v>10</v>
      </c>
      <c r="H881">
        <f t="shared" si="28"/>
        <v>10000</v>
      </c>
    </row>
    <row r="882" spans="1:8" x14ac:dyDescent="0.2">
      <c r="A882" s="2">
        <v>32264</v>
      </c>
      <c r="B882" s="3">
        <v>454</v>
      </c>
      <c r="C882" s="2">
        <v>32262</v>
      </c>
      <c r="D882" s="3">
        <v>261.33</v>
      </c>
      <c r="G882">
        <f t="shared" si="27"/>
        <v>10</v>
      </c>
      <c r="H882">
        <f t="shared" si="28"/>
        <v>10000</v>
      </c>
    </row>
    <row r="883" spans="1:8" x14ac:dyDescent="0.2">
      <c r="A883" s="2">
        <v>32295</v>
      </c>
      <c r="B883" s="3">
        <v>436.85</v>
      </c>
      <c r="C883" s="2">
        <v>32294</v>
      </c>
      <c r="D883" s="3">
        <v>262.16000000000003</v>
      </c>
      <c r="G883">
        <f t="shared" si="27"/>
        <v>10</v>
      </c>
      <c r="H883">
        <f t="shared" si="28"/>
        <v>10000</v>
      </c>
    </row>
    <row r="884" spans="1:8" x14ac:dyDescent="0.2">
      <c r="A884" s="2">
        <v>32325</v>
      </c>
      <c r="B884" s="3">
        <v>432.7</v>
      </c>
      <c r="C884" s="2">
        <v>32324</v>
      </c>
      <c r="D884" s="3">
        <v>273.5</v>
      </c>
      <c r="G884">
        <f t="shared" si="27"/>
        <v>10</v>
      </c>
      <c r="H884">
        <f t="shared" si="28"/>
        <v>10000</v>
      </c>
    </row>
    <row r="885" spans="1:8" x14ac:dyDescent="0.2">
      <c r="A885" s="2">
        <v>32356</v>
      </c>
      <c r="B885" s="3">
        <v>426.35</v>
      </c>
      <c r="C885" s="2">
        <v>32353</v>
      </c>
      <c r="D885" s="3">
        <v>272.02</v>
      </c>
      <c r="G885">
        <f t="shared" si="27"/>
        <v>10</v>
      </c>
      <c r="H885">
        <f t="shared" si="28"/>
        <v>10000</v>
      </c>
    </row>
    <row r="886" spans="1:8" x14ac:dyDescent="0.2">
      <c r="A886" s="2">
        <v>32387</v>
      </c>
      <c r="B886" s="3">
        <v>396.15</v>
      </c>
      <c r="C886" s="2">
        <v>32386</v>
      </c>
      <c r="D886" s="3">
        <v>261.52</v>
      </c>
      <c r="G886">
        <f t="shared" si="27"/>
        <v>10</v>
      </c>
      <c r="H886">
        <f t="shared" si="28"/>
        <v>10000</v>
      </c>
    </row>
    <row r="887" spans="1:8" x14ac:dyDescent="0.2">
      <c r="A887" s="2">
        <v>32417</v>
      </c>
      <c r="B887" s="3">
        <v>412.3</v>
      </c>
      <c r="C887" s="2">
        <v>32416</v>
      </c>
      <c r="D887" s="3">
        <v>271.91000000000003</v>
      </c>
      <c r="G887">
        <f t="shared" si="27"/>
        <v>10</v>
      </c>
      <c r="H887">
        <f t="shared" si="28"/>
        <v>10000</v>
      </c>
    </row>
    <row r="888" spans="1:8" x14ac:dyDescent="0.2">
      <c r="A888" s="2">
        <v>32448</v>
      </c>
      <c r="B888" s="3">
        <v>421.3</v>
      </c>
      <c r="C888" s="2">
        <v>32447</v>
      </c>
      <c r="D888" s="3">
        <v>278.97000000000003</v>
      </c>
      <c r="G888">
        <f t="shared" si="27"/>
        <v>10</v>
      </c>
      <c r="H888">
        <f t="shared" si="28"/>
        <v>10000</v>
      </c>
    </row>
    <row r="889" spans="1:8" x14ac:dyDescent="0.2">
      <c r="A889" s="2">
        <v>32478</v>
      </c>
      <c r="B889" s="3">
        <v>410.15</v>
      </c>
      <c r="C889" s="2">
        <v>32477</v>
      </c>
      <c r="D889" s="3">
        <v>273.7</v>
      </c>
      <c r="G889">
        <f t="shared" si="27"/>
        <v>10</v>
      </c>
      <c r="H889">
        <f t="shared" si="28"/>
        <v>10000</v>
      </c>
    </row>
    <row r="890" spans="1:8" x14ac:dyDescent="0.2">
      <c r="A890" s="2">
        <v>32509</v>
      </c>
      <c r="B890" s="3">
        <v>394.85</v>
      </c>
      <c r="C890" s="2">
        <v>32507</v>
      </c>
      <c r="D890" s="3">
        <v>277.72000000000003</v>
      </c>
      <c r="G890">
        <f t="shared" si="27"/>
        <v>10</v>
      </c>
      <c r="H890">
        <f t="shared" si="28"/>
        <v>10000</v>
      </c>
    </row>
    <row r="891" spans="1:8" x14ac:dyDescent="0.2">
      <c r="A891" s="2">
        <v>32540</v>
      </c>
      <c r="B891" s="3">
        <v>386.75</v>
      </c>
      <c r="C891" s="2">
        <v>32539</v>
      </c>
      <c r="D891" s="3">
        <v>297.47000000000003</v>
      </c>
      <c r="G891">
        <f t="shared" si="27"/>
        <v>10</v>
      </c>
      <c r="H891">
        <f t="shared" si="28"/>
        <v>10000</v>
      </c>
    </row>
    <row r="892" spans="1:8" x14ac:dyDescent="0.2">
      <c r="A892" s="2">
        <v>32568</v>
      </c>
      <c r="B892" s="3">
        <v>382.3</v>
      </c>
      <c r="C892" s="2">
        <v>32567</v>
      </c>
      <c r="D892" s="3">
        <v>288.86</v>
      </c>
      <c r="G892">
        <f t="shared" si="27"/>
        <v>10</v>
      </c>
      <c r="H892">
        <f t="shared" si="28"/>
        <v>10000</v>
      </c>
    </row>
    <row r="893" spans="1:8" x14ac:dyDescent="0.2">
      <c r="A893" s="2">
        <v>32599</v>
      </c>
      <c r="B893" s="3">
        <v>381.3</v>
      </c>
      <c r="C893" s="2">
        <v>32598</v>
      </c>
      <c r="D893" s="3">
        <v>294.87</v>
      </c>
      <c r="G893">
        <f t="shared" si="27"/>
        <v>10</v>
      </c>
      <c r="H893">
        <f t="shared" si="28"/>
        <v>10000</v>
      </c>
    </row>
    <row r="894" spans="1:8" x14ac:dyDescent="0.2">
      <c r="A894" s="2">
        <v>32629</v>
      </c>
      <c r="B894" s="3">
        <v>363.5</v>
      </c>
      <c r="C894" s="2">
        <v>32626</v>
      </c>
      <c r="D894" s="3">
        <v>309.64</v>
      </c>
      <c r="G894">
        <f t="shared" si="27"/>
        <v>10</v>
      </c>
      <c r="H894">
        <f t="shared" si="28"/>
        <v>10000</v>
      </c>
    </row>
    <row r="895" spans="1:8" x14ac:dyDescent="0.2">
      <c r="A895" s="2">
        <v>32660</v>
      </c>
      <c r="B895" s="3">
        <v>371.15</v>
      </c>
      <c r="C895" s="2">
        <v>32659</v>
      </c>
      <c r="D895" s="3">
        <v>320.52</v>
      </c>
      <c r="G895">
        <f t="shared" si="27"/>
        <v>10</v>
      </c>
      <c r="H895">
        <f t="shared" si="28"/>
        <v>10000</v>
      </c>
    </row>
    <row r="896" spans="1:8" x14ac:dyDescent="0.2">
      <c r="A896" s="2">
        <v>32690</v>
      </c>
      <c r="B896" s="3">
        <v>369.1</v>
      </c>
      <c r="C896" s="2">
        <v>32689</v>
      </c>
      <c r="D896" s="3">
        <v>317.98</v>
      </c>
      <c r="G896">
        <f t="shared" si="27"/>
        <v>10</v>
      </c>
      <c r="H896">
        <f t="shared" si="28"/>
        <v>10000</v>
      </c>
    </row>
    <row r="897" spans="1:8" x14ac:dyDescent="0.2">
      <c r="A897" s="2">
        <v>32721</v>
      </c>
      <c r="B897" s="3">
        <v>359.6</v>
      </c>
      <c r="C897" s="2">
        <v>32720</v>
      </c>
      <c r="D897" s="3">
        <v>346.08</v>
      </c>
      <c r="G897">
        <f t="shared" si="27"/>
        <v>10</v>
      </c>
      <c r="H897">
        <f t="shared" si="28"/>
        <v>10000</v>
      </c>
    </row>
    <row r="898" spans="1:8" x14ac:dyDescent="0.2">
      <c r="A898" s="2">
        <v>32752</v>
      </c>
      <c r="B898" s="3">
        <v>369</v>
      </c>
      <c r="C898" s="2">
        <v>32751</v>
      </c>
      <c r="D898" s="3">
        <v>351.45</v>
      </c>
      <c r="G898">
        <f t="shared" si="27"/>
        <v>10</v>
      </c>
      <c r="H898">
        <f t="shared" si="28"/>
        <v>10000</v>
      </c>
    </row>
    <row r="899" spans="1:8" x14ac:dyDescent="0.2">
      <c r="A899" s="2">
        <v>32782</v>
      </c>
      <c r="B899" s="3">
        <v>376.05</v>
      </c>
      <c r="C899" s="2">
        <v>32780</v>
      </c>
      <c r="D899" s="3">
        <v>349.15</v>
      </c>
      <c r="G899">
        <f t="shared" ref="G899:G962" si="29">IF(AND(A899&gt;=DATE(1973,1,1), A899&lt;=DATE(1982,12,31)), 10000, 10)</f>
        <v>10</v>
      </c>
      <c r="H899">
        <f t="shared" ref="H899:H962" si="30">IF(AND(A899&gt;=DATE(1983,1,1), A899&lt;=DATE(2007,12,31)), 10000, 10)</f>
        <v>10000</v>
      </c>
    </row>
    <row r="900" spans="1:8" x14ac:dyDescent="0.2">
      <c r="A900" s="2">
        <v>32813</v>
      </c>
      <c r="B900" s="3">
        <v>406.8</v>
      </c>
      <c r="C900" s="2">
        <v>32812</v>
      </c>
      <c r="D900" s="3">
        <v>340.36</v>
      </c>
      <c r="G900">
        <f t="shared" si="29"/>
        <v>10</v>
      </c>
      <c r="H900">
        <f t="shared" si="30"/>
        <v>10000</v>
      </c>
    </row>
    <row r="901" spans="1:8" x14ac:dyDescent="0.2">
      <c r="A901" s="2">
        <v>32843</v>
      </c>
      <c r="B901" s="3">
        <v>401</v>
      </c>
      <c r="C901" s="2">
        <v>32842</v>
      </c>
      <c r="D901" s="3">
        <v>345.99</v>
      </c>
      <c r="G901">
        <f t="shared" si="29"/>
        <v>10</v>
      </c>
      <c r="H901">
        <f t="shared" si="30"/>
        <v>10000</v>
      </c>
    </row>
    <row r="902" spans="1:8" x14ac:dyDescent="0.2">
      <c r="A902" s="2">
        <v>32874</v>
      </c>
      <c r="B902" s="3">
        <v>417.55</v>
      </c>
      <c r="C902" s="2">
        <v>32871</v>
      </c>
      <c r="D902" s="3">
        <v>353.4</v>
      </c>
      <c r="G902">
        <f t="shared" si="29"/>
        <v>10</v>
      </c>
      <c r="H902">
        <f t="shared" si="30"/>
        <v>10000</v>
      </c>
    </row>
    <row r="903" spans="1:8" x14ac:dyDescent="0.2">
      <c r="A903" s="2">
        <v>32905</v>
      </c>
      <c r="B903" s="3">
        <v>409.1</v>
      </c>
      <c r="C903" s="2">
        <v>32904</v>
      </c>
      <c r="D903" s="3">
        <v>329.08</v>
      </c>
      <c r="G903">
        <f t="shared" si="29"/>
        <v>10</v>
      </c>
      <c r="H903">
        <f t="shared" si="30"/>
        <v>10000</v>
      </c>
    </row>
    <row r="904" spans="1:8" x14ac:dyDescent="0.2">
      <c r="A904" s="2">
        <v>32933</v>
      </c>
      <c r="B904" s="3">
        <v>372.2</v>
      </c>
      <c r="C904" s="2">
        <v>32932</v>
      </c>
      <c r="D904" s="3">
        <v>331.89</v>
      </c>
      <c r="G904">
        <f t="shared" si="29"/>
        <v>10</v>
      </c>
      <c r="H904">
        <f t="shared" si="30"/>
        <v>10000</v>
      </c>
    </row>
    <row r="905" spans="1:8" x14ac:dyDescent="0.2">
      <c r="A905" s="2">
        <v>32964</v>
      </c>
      <c r="B905" s="3">
        <v>371.55</v>
      </c>
      <c r="C905" s="2">
        <v>32962</v>
      </c>
      <c r="D905" s="3">
        <v>339.94</v>
      </c>
      <c r="G905">
        <f t="shared" si="29"/>
        <v>10</v>
      </c>
      <c r="H905">
        <f t="shared" si="30"/>
        <v>10000</v>
      </c>
    </row>
    <row r="906" spans="1:8" x14ac:dyDescent="0.2">
      <c r="A906" s="2">
        <v>32994</v>
      </c>
      <c r="B906" s="3">
        <v>363.7</v>
      </c>
      <c r="C906" s="2">
        <v>32993</v>
      </c>
      <c r="D906" s="3">
        <v>330.8</v>
      </c>
      <c r="G906">
        <f t="shared" si="29"/>
        <v>10</v>
      </c>
      <c r="H906">
        <f t="shared" si="30"/>
        <v>10000</v>
      </c>
    </row>
    <row r="907" spans="1:8" x14ac:dyDescent="0.2">
      <c r="A907" s="2">
        <v>33025</v>
      </c>
      <c r="B907" s="3">
        <v>352.4</v>
      </c>
      <c r="C907" s="2">
        <v>33024</v>
      </c>
      <c r="D907" s="3">
        <v>361.23</v>
      </c>
      <c r="G907">
        <f t="shared" si="29"/>
        <v>10</v>
      </c>
      <c r="H907">
        <f t="shared" si="30"/>
        <v>10000</v>
      </c>
    </row>
    <row r="908" spans="1:8" x14ac:dyDescent="0.2">
      <c r="A908" s="2">
        <v>33055</v>
      </c>
      <c r="B908" s="3">
        <v>371.1</v>
      </c>
      <c r="C908" s="2">
        <v>33053</v>
      </c>
      <c r="D908" s="3">
        <v>358.02</v>
      </c>
      <c r="G908">
        <f t="shared" si="29"/>
        <v>10</v>
      </c>
      <c r="H908">
        <f t="shared" si="30"/>
        <v>10000</v>
      </c>
    </row>
    <row r="909" spans="1:8" x14ac:dyDescent="0.2">
      <c r="A909" s="2">
        <v>33086</v>
      </c>
      <c r="B909" s="3">
        <v>388.1</v>
      </c>
      <c r="C909" s="2">
        <v>33085</v>
      </c>
      <c r="D909" s="3">
        <v>356.15</v>
      </c>
      <c r="G909">
        <f t="shared" si="29"/>
        <v>10</v>
      </c>
      <c r="H909">
        <f t="shared" si="30"/>
        <v>10000</v>
      </c>
    </row>
    <row r="910" spans="1:8" x14ac:dyDescent="0.2">
      <c r="A910" s="2">
        <v>33117</v>
      </c>
      <c r="B910" s="3">
        <v>406.1</v>
      </c>
      <c r="C910" s="2">
        <v>33116</v>
      </c>
      <c r="D910" s="3">
        <v>322.56</v>
      </c>
      <c r="G910">
        <f t="shared" si="29"/>
        <v>10</v>
      </c>
      <c r="H910">
        <f t="shared" si="30"/>
        <v>10000</v>
      </c>
    </row>
    <row r="911" spans="1:8" x14ac:dyDescent="0.2">
      <c r="A911" s="2">
        <v>33147</v>
      </c>
      <c r="B911" s="3">
        <v>379.25</v>
      </c>
      <c r="C911" s="2">
        <v>33144</v>
      </c>
      <c r="D911" s="3">
        <v>306.05</v>
      </c>
      <c r="G911">
        <f t="shared" si="29"/>
        <v>10</v>
      </c>
      <c r="H911">
        <f t="shared" si="30"/>
        <v>10000</v>
      </c>
    </row>
    <row r="912" spans="1:8" x14ac:dyDescent="0.2">
      <c r="A912" s="2">
        <v>33178</v>
      </c>
      <c r="B912" s="3">
        <v>384.8</v>
      </c>
      <c r="C912" s="2">
        <v>33177</v>
      </c>
      <c r="D912" s="3">
        <v>304</v>
      </c>
      <c r="G912">
        <f t="shared" si="29"/>
        <v>10</v>
      </c>
      <c r="H912">
        <f t="shared" si="30"/>
        <v>10000</v>
      </c>
    </row>
    <row r="913" spans="1:8" x14ac:dyDescent="0.2">
      <c r="A913" s="2">
        <v>33208</v>
      </c>
      <c r="B913" s="3">
        <v>391</v>
      </c>
      <c r="C913" s="2">
        <v>33207</v>
      </c>
      <c r="D913" s="3">
        <v>322.22000000000003</v>
      </c>
      <c r="G913">
        <f t="shared" si="29"/>
        <v>10</v>
      </c>
      <c r="H913">
        <f t="shared" si="30"/>
        <v>10000</v>
      </c>
    </row>
    <row r="914" spans="1:8" x14ac:dyDescent="0.2">
      <c r="A914" s="2">
        <v>33239</v>
      </c>
      <c r="B914" s="3">
        <v>369.6</v>
      </c>
      <c r="C914" s="2">
        <v>33238</v>
      </c>
      <c r="D914" s="3">
        <v>330.22</v>
      </c>
      <c r="G914">
        <f t="shared" si="29"/>
        <v>10</v>
      </c>
      <c r="H914">
        <f t="shared" si="30"/>
        <v>10000</v>
      </c>
    </row>
    <row r="915" spans="1:8" x14ac:dyDescent="0.2">
      <c r="A915" s="2">
        <v>33270</v>
      </c>
      <c r="B915" s="3">
        <v>363</v>
      </c>
      <c r="C915" s="2">
        <v>33269</v>
      </c>
      <c r="D915" s="3">
        <v>343.93</v>
      </c>
      <c r="G915">
        <f t="shared" si="29"/>
        <v>10</v>
      </c>
      <c r="H915">
        <f t="shared" si="30"/>
        <v>10000</v>
      </c>
    </row>
    <row r="916" spans="1:8" x14ac:dyDescent="0.2">
      <c r="A916" s="2">
        <v>33298</v>
      </c>
      <c r="B916" s="3">
        <v>354</v>
      </c>
      <c r="C916" s="2">
        <v>33297</v>
      </c>
      <c r="D916" s="3">
        <v>367.07</v>
      </c>
      <c r="G916">
        <f t="shared" si="29"/>
        <v>10</v>
      </c>
      <c r="H916">
        <f t="shared" si="30"/>
        <v>10000</v>
      </c>
    </row>
    <row r="917" spans="1:8" x14ac:dyDescent="0.2">
      <c r="A917" s="2">
        <v>33329</v>
      </c>
      <c r="B917" s="3">
        <v>353.45</v>
      </c>
      <c r="C917" s="2">
        <v>33325</v>
      </c>
      <c r="D917" s="3">
        <v>375.22</v>
      </c>
      <c r="G917">
        <f t="shared" si="29"/>
        <v>10</v>
      </c>
      <c r="H917">
        <f t="shared" si="30"/>
        <v>10000</v>
      </c>
    </row>
    <row r="918" spans="1:8" x14ac:dyDescent="0.2">
      <c r="A918" s="2">
        <v>33359</v>
      </c>
      <c r="B918" s="3">
        <v>361.55</v>
      </c>
      <c r="C918" s="2">
        <v>33358</v>
      </c>
      <c r="D918" s="3">
        <v>375.34</v>
      </c>
      <c r="G918">
        <f t="shared" si="29"/>
        <v>10</v>
      </c>
      <c r="H918">
        <f t="shared" si="30"/>
        <v>10000</v>
      </c>
    </row>
    <row r="919" spans="1:8" x14ac:dyDescent="0.2">
      <c r="A919" s="2">
        <v>33390</v>
      </c>
      <c r="B919" s="3">
        <v>366.9</v>
      </c>
      <c r="C919" s="2">
        <v>33389</v>
      </c>
      <c r="D919" s="3">
        <v>389.83</v>
      </c>
      <c r="G919">
        <f t="shared" si="29"/>
        <v>10</v>
      </c>
      <c r="H919">
        <f t="shared" si="30"/>
        <v>10000</v>
      </c>
    </row>
    <row r="920" spans="1:8" x14ac:dyDescent="0.2">
      <c r="A920" s="2">
        <v>33420</v>
      </c>
      <c r="B920" s="3">
        <v>363.6</v>
      </c>
      <c r="C920" s="2">
        <v>33417</v>
      </c>
      <c r="D920" s="3">
        <v>371.16</v>
      </c>
      <c r="G920">
        <f t="shared" si="29"/>
        <v>10</v>
      </c>
      <c r="H920">
        <f t="shared" si="30"/>
        <v>10000</v>
      </c>
    </row>
    <row r="921" spans="1:8" x14ac:dyDescent="0.2">
      <c r="A921" s="2">
        <v>33451</v>
      </c>
      <c r="B921" s="3">
        <v>347</v>
      </c>
      <c r="C921" s="2">
        <v>33450</v>
      </c>
      <c r="D921" s="3">
        <v>387.81</v>
      </c>
      <c r="G921">
        <f t="shared" si="29"/>
        <v>10</v>
      </c>
      <c r="H921">
        <f t="shared" si="30"/>
        <v>10000</v>
      </c>
    </row>
    <row r="922" spans="1:8" x14ac:dyDescent="0.2">
      <c r="A922" s="2">
        <v>33482</v>
      </c>
      <c r="B922" s="3">
        <v>350.5</v>
      </c>
      <c r="C922" s="2">
        <v>33480</v>
      </c>
      <c r="D922" s="3">
        <v>395.43</v>
      </c>
      <c r="G922">
        <f t="shared" si="29"/>
        <v>10</v>
      </c>
      <c r="H922">
        <f t="shared" si="30"/>
        <v>10000</v>
      </c>
    </row>
    <row r="923" spans="1:8" x14ac:dyDescent="0.2">
      <c r="A923" s="2">
        <v>33512</v>
      </c>
      <c r="B923" s="3">
        <v>357.4</v>
      </c>
      <c r="C923" s="2">
        <v>33511</v>
      </c>
      <c r="D923" s="3">
        <v>387.86</v>
      </c>
      <c r="G923">
        <f t="shared" si="29"/>
        <v>10</v>
      </c>
      <c r="H923">
        <f t="shared" si="30"/>
        <v>10000</v>
      </c>
    </row>
    <row r="924" spans="1:8" x14ac:dyDescent="0.2">
      <c r="A924" s="2">
        <v>33543</v>
      </c>
      <c r="B924" s="3">
        <v>366.85</v>
      </c>
      <c r="C924" s="2">
        <v>33542</v>
      </c>
      <c r="D924" s="3">
        <v>392.45</v>
      </c>
      <c r="G924">
        <f t="shared" si="29"/>
        <v>10</v>
      </c>
      <c r="H924">
        <f t="shared" si="30"/>
        <v>10000</v>
      </c>
    </row>
    <row r="925" spans="1:8" x14ac:dyDescent="0.2">
      <c r="A925" s="2">
        <v>33573</v>
      </c>
      <c r="B925" s="3">
        <v>353.4</v>
      </c>
      <c r="C925" s="2">
        <v>33571</v>
      </c>
      <c r="D925" s="3">
        <v>375.22</v>
      </c>
      <c r="G925">
        <f t="shared" si="29"/>
        <v>10</v>
      </c>
      <c r="H925">
        <f t="shared" si="30"/>
        <v>10000</v>
      </c>
    </row>
    <row r="926" spans="1:8" x14ac:dyDescent="0.2">
      <c r="A926" s="2">
        <v>33604</v>
      </c>
      <c r="B926" s="3">
        <v>354.15</v>
      </c>
      <c r="C926" s="2">
        <v>33603</v>
      </c>
      <c r="D926" s="3">
        <v>417.09</v>
      </c>
      <c r="G926">
        <f t="shared" si="29"/>
        <v>10</v>
      </c>
      <c r="H926">
        <f t="shared" si="30"/>
        <v>10000</v>
      </c>
    </row>
    <row r="927" spans="1:8" x14ac:dyDescent="0.2">
      <c r="A927" s="2">
        <v>33635</v>
      </c>
      <c r="B927" s="3">
        <v>353.05</v>
      </c>
      <c r="C927" s="2">
        <v>33634</v>
      </c>
      <c r="D927" s="3">
        <v>408.78</v>
      </c>
      <c r="G927">
        <f t="shared" si="29"/>
        <v>10</v>
      </c>
      <c r="H927">
        <f t="shared" si="30"/>
        <v>10000</v>
      </c>
    </row>
    <row r="928" spans="1:8" x14ac:dyDescent="0.2">
      <c r="A928" s="2">
        <v>33664</v>
      </c>
      <c r="B928" s="3">
        <v>341.5</v>
      </c>
      <c r="C928" s="2">
        <v>33662</v>
      </c>
      <c r="D928" s="3">
        <v>412.7</v>
      </c>
      <c r="G928">
        <f t="shared" si="29"/>
        <v>10</v>
      </c>
      <c r="H928">
        <f t="shared" si="30"/>
        <v>10000</v>
      </c>
    </row>
    <row r="929" spans="1:8" x14ac:dyDescent="0.2">
      <c r="A929" s="2">
        <v>33695</v>
      </c>
      <c r="B929" s="3">
        <v>336.25</v>
      </c>
      <c r="C929" s="2">
        <v>33694</v>
      </c>
      <c r="D929" s="3">
        <v>403.69</v>
      </c>
      <c r="G929">
        <f t="shared" si="29"/>
        <v>10</v>
      </c>
      <c r="H929">
        <f t="shared" si="30"/>
        <v>10000</v>
      </c>
    </row>
    <row r="930" spans="1:8" x14ac:dyDescent="0.2">
      <c r="A930" s="2">
        <v>33725</v>
      </c>
      <c r="B930" s="3">
        <v>337.55</v>
      </c>
      <c r="C930" s="2">
        <v>33724</v>
      </c>
      <c r="D930" s="3">
        <v>414.95</v>
      </c>
      <c r="G930">
        <f t="shared" si="29"/>
        <v>10</v>
      </c>
      <c r="H930">
        <f t="shared" si="30"/>
        <v>10000</v>
      </c>
    </row>
    <row r="931" spans="1:8" x14ac:dyDescent="0.2">
      <c r="A931" s="2">
        <v>33756</v>
      </c>
      <c r="B931" s="3">
        <v>343.4</v>
      </c>
      <c r="C931" s="2">
        <v>33753</v>
      </c>
      <c r="D931" s="3">
        <v>415.35</v>
      </c>
      <c r="G931">
        <f t="shared" si="29"/>
        <v>10</v>
      </c>
      <c r="H931">
        <f t="shared" si="30"/>
        <v>10000</v>
      </c>
    </row>
    <row r="932" spans="1:8" x14ac:dyDescent="0.2">
      <c r="A932" s="2">
        <v>33786</v>
      </c>
      <c r="B932" s="3">
        <v>357.95</v>
      </c>
      <c r="C932" s="2">
        <v>33785</v>
      </c>
      <c r="D932" s="3">
        <v>408.14</v>
      </c>
      <c r="G932">
        <f t="shared" si="29"/>
        <v>10</v>
      </c>
      <c r="H932">
        <f t="shared" si="30"/>
        <v>10000</v>
      </c>
    </row>
    <row r="933" spans="1:8" x14ac:dyDescent="0.2">
      <c r="A933" s="2">
        <v>33817</v>
      </c>
      <c r="B933" s="3">
        <v>340.5</v>
      </c>
      <c r="C933" s="2">
        <v>33816</v>
      </c>
      <c r="D933" s="3">
        <v>424.21</v>
      </c>
      <c r="G933">
        <f t="shared" si="29"/>
        <v>10</v>
      </c>
      <c r="H933">
        <f t="shared" si="30"/>
        <v>10000</v>
      </c>
    </row>
    <row r="934" spans="1:8" x14ac:dyDescent="0.2">
      <c r="A934" s="2">
        <v>33848</v>
      </c>
      <c r="B934" s="3">
        <v>349</v>
      </c>
      <c r="C934" s="2">
        <v>33847</v>
      </c>
      <c r="D934" s="3">
        <v>414.03</v>
      </c>
      <c r="G934">
        <f t="shared" si="29"/>
        <v>10</v>
      </c>
      <c r="H934">
        <f t="shared" si="30"/>
        <v>10000</v>
      </c>
    </row>
    <row r="935" spans="1:8" x14ac:dyDescent="0.2">
      <c r="A935" s="2">
        <v>33878</v>
      </c>
      <c r="B935" s="3">
        <v>338.8</v>
      </c>
      <c r="C935" s="2">
        <v>33877</v>
      </c>
      <c r="D935" s="3">
        <v>417.8</v>
      </c>
      <c r="G935">
        <f t="shared" si="29"/>
        <v>10</v>
      </c>
      <c r="H935">
        <f t="shared" si="30"/>
        <v>10000</v>
      </c>
    </row>
    <row r="936" spans="1:8" x14ac:dyDescent="0.2">
      <c r="A936" s="2">
        <v>33909</v>
      </c>
      <c r="B936" s="3">
        <v>333.7</v>
      </c>
      <c r="C936" s="2">
        <v>33907</v>
      </c>
      <c r="D936" s="3">
        <v>418.68</v>
      </c>
      <c r="G936">
        <f t="shared" si="29"/>
        <v>10</v>
      </c>
      <c r="H936">
        <f t="shared" si="30"/>
        <v>10000</v>
      </c>
    </row>
    <row r="937" spans="1:8" x14ac:dyDescent="0.2">
      <c r="A937" s="2">
        <v>33939</v>
      </c>
      <c r="B937" s="3">
        <v>332.9</v>
      </c>
      <c r="C937" s="2">
        <v>33938</v>
      </c>
      <c r="D937" s="3">
        <v>431.35</v>
      </c>
      <c r="G937">
        <f t="shared" si="29"/>
        <v>10</v>
      </c>
      <c r="H937">
        <f t="shared" si="30"/>
        <v>10000</v>
      </c>
    </row>
    <row r="938" spans="1:8" x14ac:dyDescent="0.2">
      <c r="A938" s="2">
        <v>33970</v>
      </c>
      <c r="B938" s="3">
        <v>330.75</v>
      </c>
      <c r="C938" s="2">
        <v>33969</v>
      </c>
      <c r="D938" s="3">
        <v>435.71</v>
      </c>
      <c r="G938">
        <f t="shared" si="29"/>
        <v>10</v>
      </c>
      <c r="H938">
        <f t="shared" si="30"/>
        <v>10000</v>
      </c>
    </row>
    <row r="939" spans="1:8" x14ac:dyDescent="0.2">
      <c r="A939" s="2">
        <v>34001</v>
      </c>
      <c r="B939" s="3">
        <v>328.75</v>
      </c>
      <c r="C939" s="2">
        <v>33998</v>
      </c>
      <c r="D939" s="3">
        <v>438.78</v>
      </c>
      <c r="G939">
        <f t="shared" si="29"/>
        <v>10</v>
      </c>
      <c r="H939">
        <f t="shared" si="30"/>
        <v>10000</v>
      </c>
    </row>
    <row r="940" spans="1:8" x14ac:dyDescent="0.2">
      <c r="A940" s="2">
        <v>34029</v>
      </c>
      <c r="B940" s="3">
        <v>336.9</v>
      </c>
      <c r="C940" s="2">
        <v>34026</v>
      </c>
      <c r="D940" s="3">
        <v>443.38</v>
      </c>
      <c r="G940">
        <f t="shared" si="29"/>
        <v>10</v>
      </c>
      <c r="H940">
        <f t="shared" si="30"/>
        <v>10000</v>
      </c>
    </row>
    <row r="941" spans="1:8" x14ac:dyDescent="0.2">
      <c r="A941" s="2">
        <v>34060</v>
      </c>
      <c r="B941" s="3">
        <v>353.45</v>
      </c>
      <c r="C941" s="2">
        <v>34059</v>
      </c>
      <c r="D941" s="3">
        <v>451.67</v>
      </c>
      <c r="G941">
        <f t="shared" si="29"/>
        <v>10</v>
      </c>
      <c r="H941">
        <f t="shared" si="30"/>
        <v>10000</v>
      </c>
    </row>
    <row r="942" spans="1:8" x14ac:dyDescent="0.2">
      <c r="A942" s="2">
        <v>34090</v>
      </c>
      <c r="B942" s="3">
        <v>381</v>
      </c>
      <c r="C942" s="2">
        <v>34089</v>
      </c>
      <c r="D942" s="3">
        <v>440.19</v>
      </c>
      <c r="G942">
        <f t="shared" si="29"/>
        <v>10</v>
      </c>
      <c r="H942">
        <f t="shared" si="30"/>
        <v>10000</v>
      </c>
    </row>
    <row r="943" spans="1:8" x14ac:dyDescent="0.2">
      <c r="A943" s="2">
        <v>34121</v>
      </c>
      <c r="B943" s="3">
        <v>379</v>
      </c>
      <c r="C943" s="2">
        <v>34117</v>
      </c>
      <c r="D943" s="3">
        <v>450.19</v>
      </c>
      <c r="G943">
        <f t="shared" si="29"/>
        <v>10</v>
      </c>
      <c r="H943">
        <f t="shared" si="30"/>
        <v>10000</v>
      </c>
    </row>
    <row r="944" spans="1:8" x14ac:dyDescent="0.2">
      <c r="A944" s="2">
        <v>34151</v>
      </c>
      <c r="B944" s="3">
        <v>403.7</v>
      </c>
      <c r="C944" s="2">
        <v>34150</v>
      </c>
      <c r="D944" s="3">
        <v>450.53</v>
      </c>
      <c r="G944">
        <f t="shared" si="29"/>
        <v>10</v>
      </c>
      <c r="H944">
        <f t="shared" si="30"/>
        <v>10000</v>
      </c>
    </row>
    <row r="945" spans="1:8" x14ac:dyDescent="0.2">
      <c r="A945" s="2">
        <v>34182</v>
      </c>
      <c r="B945" s="3">
        <v>370.6</v>
      </c>
      <c r="C945" s="2">
        <v>34180</v>
      </c>
      <c r="D945" s="3">
        <v>448.13</v>
      </c>
      <c r="G945">
        <f t="shared" si="29"/>
        <v>10</v>
      </c>
      <c r="H945">
        <f t="shared" si="30"/>
        <v>10000</v>
      </c>
    </row>
    <row r="946" spans="1:8" x14ac:dyDescent="0.2">
      <c r="A946" s="2">
        <v>34213</v>
      </c>
      <c r="B946" s="3">
        <v>352.65</v>
      </c>
      <c r="C946" s="2">
        <v>34212</v>
      </c>
      <c r="D946" s="3">
        <v>463.56</v>
      </c>
      <c r="G946">
        <f t="shared" si="29"/>
        <v>10</v>
      </c>
      <c r="H946">
        <f t="shared" si="30"/>
        <v>10000</v>
      </c>
    </row>
    <row r="947" spans="1:8" x14ac:dyDescent="0.2">
      <c r="A947" s="2">
        <v>34243</v>
      </c>
      <c r="B947" s="3">
        <v>369.1</v>
      </c>
      <c r="C947" s="2">
        <v>34242</v>
      </c>
      <c r="D947" s="3">
        <v>458.93</v>
      </c>
      <c r="G947">
        <f t="shared" si="29"/>
        <v>10</v>
      </c>
      <c r="H947">
        <f t="shared" si="30"/>
        <v>10000</v>
      </c>
    </row>
    <row r="948" spans="1:8" x14ac:dyDescent="0.2">
      <c r="A948" s="2">
        <v>34274</v>
      </c>
      <c r="B948" s="3">
        <v>370.8</v>
      </c>
      <c r="C948" s="2">
        <v>34271</v>
      </c>
      <c r="D948" s="3">
        <v>467.83</v>
      </c>
      <c r="G948">
        <f t="shared" si="29"/>
        <v>10</v>
      </c>
      <c r="H948">
        <f t="shared" si="30"/>
        <v>10000</v>
      </c>
    </row>
    <row r="949" spans="1:8" x14ac:dyDescent="0.2">
      <c r="A949" s="2">
        <v>34304</v>
      </c>
      <c r="B949" s="3">
        <v>390.65</v>
      </c>
      <c r="C949" s="2">
        <v>34303</v>
      </c>
      <c r="D949" s="3">
        <v>461.79</v>
      </c>
      <c r="G949">
        <f t="shared" si="29"/>
        <v>10</v>
      </c>
      <c r="H949">
        <f t="shared" si="30"/>
        <v>10000</v>
      </c>
    </row>
    <row r="950" spans="1:8" x14ac:dyDescent="0.2">
      <c r="A950" s="2">
        <v>34335</v>
      </c>
      <c r="B950" s="3">
        <v>378.2</v>
      </c>
      <c r="C950" s="2">
        <v>34334</v>
      </c>
      <c r="D950" s="3">
        <v>466.45</v>
      </c>
      <c r="G950">
        <f t="shared" si="29"/>
        <v>10</v>
      </c>
      <c r="H950">
        <f t="shared" si="30"/>
        <v>10000</v>
      </c>
    </row>
    <row r="951" spans="1:8" x14ac:dyDescent="0.2">
      <c r="A951" s="2">
        <v>34366</v>
      </c>
      <c r="B951" s="3">
        <v>380.75</v>
      </c>
      <c r="C951" s="2">
        <v>34365</v>
      </c>
      <c r="D951" s="3">
        <v>481.61</v>
      </c>
      <c r="G951">
        <f t="shared" si="29"/>
        <v>10</v>
      </c>
      <c r="H951">
        <f t="shared" si="30"/>
        <v>10000</v>
      </c>
    </row>
    <row r="952" spans="1:8" x14ac:dyDescent="0.2">
      <c r="A952" s="2">
        <v>34394</v>
      </c>
      <c r="B952" s="3">
        <v>389.7</v>
      </c>
      <c r="C952" s="2">
        <v>34393</v>
      </c>
      <c r="D952" s="3">
        <v>467.14</v>
      </c>
      <c r="G952">
        <f t="shared" si="29"/>
        <v>10</v>
      </c>
      <c r="H952">
        <f t="shared" si="30"/>
        <v>10000</v>
      </c>
    </row>
    <row r="953" spans="1:8" x14ac:dyDescent="0.2">
      <c r="A953" s="2">
        <v>34425</v>
      </c>
      <c r="B953" s="3">
        <v>376.45</v>
      </c>
      <c r="C953" s="2">
        <v>34424</v>
      </c>
      <c r="D953" s="3">
        <v>445.77</v>
      </c>
      <c r="G953">
        <f t="shared" si="29"/>
        <v>10</v>
      </c>
      <c r="H953">
        <f t="shared" si="30"/>
        <v>10000</v>
      </c>
    </row>
    <row r="954" spans="1:8" x14ac:dyDescent="0.2">
      <c r="A954" s="2">
        <v>34455</v>
      </c>
      <c r="B954" s="3">
        <v>386.25</v>
      </c>
      <c r="C954" s="2">
        <v>34453</v>
      </c>
      <c r="D954" s="3">
        <v>450.91</v>
      </c>
      <c r="G954">
        <f t="shared" si="29"/>
        <v>10</v>
      </c>
      <c r="H954">
        <f t="shared" si="30"/>
        <v>10000</v>
      </c>
    </row>
    <row r="955" spans="1:8" x14ac:dyDescent="0.2">
      <c r="A955" s="2">
        <v>34486</v>
      </c>
      <c r="B955" s="3">
        <v>385.4</v>
      </c>
      <c r="C955" s="2">
        <v>34485</v>
      </c>
      <c r="D955" s="3">
        <v>456.5</v>
      </c>
      <c r="G955">
        <f t="shared" si="29"/>
        <v>10</v>
      </c>
      <c r="H955">
        <f t="shared" si="30"/>
        <v>10000</v>
      </c>
    </row>
    <row r="956" spans="1:8" x14ac:dyDescent="0.2">
      <c r="A956" s="2">
        <v>34516</v>
      </c>
      <c r="B956" s="3">
        <v>384.05</v>
      </c>
      <c r="C956" s="2">
        <v>34515</v>
      </c>
      <c r="D956" s="3">
        <v>444.27</v>
      </c>
      <c r="G956">
        <f t="shared" si="29"/>
        <v>10</v>
      </c>
      <c r="H956">
        <f t="shared" si="30"/>
        <v>10000</v>
      </c>
    </row>
    <row r="957" spans="1:8" x14ac:dyDescent="0.2">
      <c r="A957" s="2">
        <v>34547</v>
      </c>
      <c r="B957" s="3">
        <v>386.25</v>
      </c>
      <c r="C957" s="2">
        <v>34544</v>
      </c>
      <c r="D957" s="3">
        <v>458.26</v>
      </c>
      <c r="G957">
        <f t="shared" si="29"/>
        <v>10</v>
      </c>
      <c r="H957">
        <f t="shared" si="30"/>
        <v>10000</v>
      </c>
    </row>
    <row r="958" spans="1:8" x14ac:dyDescent="0.2">
      <c r="A958" s="2">
        <v>34578</v>
      </c>
      <c r="B958" s="3">
        <v>395.35</v>
      </c>
      <c r="C958" s="2">
        <v>34577</v>
      </c>
      <c r="D958" s="3">
        <v>475.49</v>
      </c>
      <c r="G958">
        <f t="shared" si="29"/>
        <v>10</v>
      </c>
      <c r="H958">
        <f t="shared" si="30"/>
        <v>10000</v>
      </c>
    </row>
    <row r="959" spans="1:8" x14ac:dyDescent="0.2">
      <c r="A959" s="2">
        <v>34608</v>
      </c>
      <c r="B959" s="3">
        <v>387.4</v>
      </c>
      <c r="C959" s="2">
        <v>34607</v>
      </c>
      <c r="D959" s="3">
        <v>462.71</v>
      </c>
      <c r="G959">
        <f t="shared" si="29"/>
        <v>10</v>
      </c>
      <c r="H959">
        <f t="shared" si="30"/>
        <v>10000</v>
      </c>
    </row>
    <row r="960" spans="1:8" x14ac:dyDescent="0.2">
      <c r="A960" s="2">
        <v>34639</v>
      </c>
      <c r="B960" s="3">
        <v>383.35</v>
      </c>
      <c r="C960" s="2">
        <v>34638</v>
      </c>
      <c r="D960" s="3">
        <v>472.35</v>
      </c>
      <c r="G960">
        <f t="shared" si="29"/>
        <v>10</v>
      </c>
      <c r="H960">
        <f t="shared" si="30"/>
        <v>10000</v>
      </c>
    </row>
    <row r="961" spans="1:8" x14ac:dyDescent="0.2">
      <c r="A961" s="2">
        <v>34669</v>
      </c>
      <c r="B961" s="3">
        <v>382.5</v>
      </c>
      <c r="C961" s="2">
        <v>34668</v>
      </c>
      <c r="D961" s="3">
        <v>453.69</v>
      </c>
      <c r="G961">
        <f t="shared" si="29"/>
        <v>10</v>
      </c>
      <c r="H961">
        <f t="shared" si="30"/>
        <v>10000</v>
      </c>
    </row>
    <row r="962" spans="1:8" x14ac:dyDescent="0.2">
      <c r="A962" s="2">
        <v>34700</v>
      </c>
      <c r="B962" s="3">
        <v>375.85</v>
      </c>
      <c r="C962" s="2">
        <v>34698</v>
      </c>
      <c r="D962" s="3">
        <v>459.27</v>
      </c>
      <c r="G962">
        <f t="shared" si="29"/>
        <v>10</v>
      </c>
      <c r="H962">
        <f t="shared" si="30"/>
        <v>10000</v>
      </c>
    </row>
    <row r="963" spans="1:8" x14ac:dyDescent="0.2">
      <c r="A963" s="2">
        <v>34731</v>
      </c>
      <c r="B963" s="3">
        <v>375.7</v>
      </c>
      <c r="C963" s="2">
        <v>34730</v>
      </c>
      <c r="D963" s="3">
        <v>470.42</v>
      </c>
      <c r="G963">
        <f t="shared" ref="G963:G1026" si="31">IF(AND(A963&gt;=DATE(1973,1,1), A963&lt;=DATE(1982,12,31)), 10000, 10)</f>
        <v>10</v>
      </c>
      <c r="H963">
        <f t="shared" ref="H963:H1026" si="32">IF(AND(A963&gt;=DATE(1983,1,1), A963&lt;=DATE(2007,12,31)), 10000, 10)</f>
        <v>10000</v>
      </c>
    </row>
    <row r="964" spans="1:8" x14ac:dyDescent="0.2">
      <c r="A964" s="2">
        <v>34759</v>
      </c>
      <c r="B964" s="3">
        <v>386.55</v>
      </c>
      <c r="C964" s="2">
        <v>34758</v>
      </c>
      <c r="D964" s="3">
        <v>487.39</v>
      </c>
      <c r="G964">
        <f t="shared" si="31"/>
        <v>10</v>
      </c>
      <c r="H964">
        <f t="shared" si="32"/>
        <v>10000</v>
      </c>
    </row>
    <row r="965" spans="1:8" x14ac:dyDescent="0.2">
      <c r="A965" s="2">
        <v>34790</v>
      </c>
      <c r="B965" s="3">
        <v>389.5</v>
      </c>
      <c r="C965" s="2">
        <v>34789</v>
      </c>
      <c r="D965" s="3">
        <v>500.71</v>
      </c>
      <c r="G965">
        <f t="shared" si="31"/>
        <v>10</v>
      </c>
      <c r="H965">
        <f t="shared" si="32"/>
        <v>10000</v>
      </c>
    </row>
    <row r="966" spans="1:8" x14ac:dyDescent="0.2">
      <c r="A966" s="2">
        <v>34820</v>
      </c>
      <c r="B966" s="3">
        <v>384.25</v>
      </c>
      <c r="C966" s="2">
        <v>34817</v>
      </c>
      <c r="D966" s="3">
        <v>514.71</v>
      </c>
      <c r="G966">
        <f t="shared" si="31"/>
        <v>10</v>
      </c>
      <c r="H966">
        <f t="shared" si="32"/>
        <v>10000</v>
      </c>
    </row>
    <row r="967" spans="1:8" x14ac:dyDescent="0.2">
      <c r="A967" s="2">
        <v>34851</v>
      </c>
      <c r="B967" s="3">
        <v>387.6</v>
      </c>
      <c r="C967" s="2">
        <v>34850</v>
      </c>
      <c r="D967" s="3">
        <v>533.4</v>
      </c>
      <c r="G967">
        <f t="shared" si="31"/>
        <v>10</v>
      </c>
      <c r="H967">
        <f t="shared" si="32"/>
        <v>10000</v>
      </c>
    </row>
    <row r="968" spans="1:8" x14ac:dyDescent="0.2">
      <c r="A968" s="2">
        <v>34881</v>
      </c>
      <c r="B968" s="3">
        <v>383.35</v>
      </c>
      <c r="C968" s="2">
        <v>34880</v>
      </c>
      <c r="D968" s="3">
        <v>544.75</v>
      </c>
      <c r="G968">
        <f t="shared" si="31"/>
        <v>10</v>
      </c>
      <c r="H968">
        <f t="shared" si="32"/>
        <v>10000</v>
      </c>
    </row>
    <row r="969" spans="1:8" x14ac:dyDescent="0.2">
      <c r="A969" s="2">
        <v>34912</v>
      </c>
      <c r="B969" s="3">
        <v>381.65</v>
      </c>
      <c r="C969" s="2">
        <v>34911</v>
      </c>
      <c r="D969" s="3">
        <v>562.05999999999995</v>
      </c>
      <c r="G969">
        <f t="shared" si="31"/>
        <v>10</v>
      </c>
      <c r="H969">
        <f t="shared" si="32"/>
        <v>10000</v>
      </c>
    </row>
    <row r="970" spans="1:8" x14ac:dyDescent="0.2">
      <c r="A970" s="2">
        <v>34943</v>
      </c>
      <c r="B970" s="3">
        <v>383.75</v>
      </c>
      <c r="C970" s="2">
        <v>34942</v>
      </c>
      <c r="D970" s="3">
        <v>561.88</v>
      </c>
      <c r="G970">
        <f t="shared" si="31"/>
        <v>10</v>
      </c>
      <c r="H970">
        <f t="shared" si="32"/>
        <v>10000</v>
      </c>
    </row>
    <row r="971" spans="1:8" x14ac:dyDescent="0.2">
      <c r="A971" s="2">
        <v>34973</v>
      </c>
      <c r="B971" s="3">
        <v>382.4</v>
      </c>
      <c r="C971" s="2">
        <v>34971</v>
      </c>
      <c r="D971" s="3">
        <v>584.41</v>
      </c>
      <c r="G971">
        <f t="shared" si="31"/>
        <v>10</v>
      </c>
      <c r="H971">
        <f t="shared" si="32"/>
        <v>10000</v>
      </c>
    </row>
    <row r="972" spans="1:8" x14ac:dyDescent="0.2">
      <c r="A972" s="2">
        <v>35004</v>
      </c>
      <c r="B972" s="3">
        <v>387.85</v>
      </c>
      <c r="C972" s="2">
        <v>35003</v>
      </c>
      <c r="D972" s="3">
        <v>581.5</v>
      </c>
      <c r="G972">
        <f t="shared" si="31"/>
        <v>10</v>
      </c>
      <c r="H972">
        <f t="shared" si="32"/>
        <v>10000</v>
      </c>
    </row>
    <row r="973" spans="1:8" x14ac:dyDescent="0.2">
      <c r="A973" s="2">
        <v>35034</v>
      </c>
      <c r="B973" s="3">
        <v>386.7</v>
      </c>
      <c r="C973" s="2">
        <v>35033</v>
      </c>
      <c r="D973" s="3">
        <v>605.37</v>
      </c>
      <c r="G973">
        <f t="shared" si="31"/>
        <v>10</v>
      </c>
      <c r="H973">
        <f t="shared" si="32"/>
        <v>10000</v>
      </c>
    </row>
    <row r="974" spans="1:8" x14ac:dyDescent="0.2">
      <c r="A974" s="2">
        <v>35065</v>
      </c>
      <c r="B974" s="3">
        <v>403.2</v>
      </c>
      <c r="C974" s="2">
        <v>35062</v>
      </c>
      <c r="D974" s="3">
        <v>615.92999999999995</v>
      </c>
      <c r="G974">
        <f t="shared" si="31"/>
        <v>10</v>
      </c>
      <c r="H974">
        <f t="shared" si="32"/>
        <v>10000</v>
      </c>
    </row>
    <row r="975" spans="1:8" x14ac:dyDescent="0.2">
      <c r="A975" s="2">
        <v>35096</v>
      </c>
      <c r="B975" s="3">
        <v>400.35</v>
      </c>
      <c r="C975" s="2">
        <v>35095</v>
      </c>
      <c r="D975" s="3">
        <v>636.02</v>
      </c>
      <c r="G975">
        <f t="shared" si="31"/>
        <v>10</v>
      </c>
      <c r="H975">
        <f t="shared" si="32"/>
        <v>10000</v>
      </c>
    </row>
    <row r="976" spans="1:8" x14ac:dyDescent="0.2">
      <c r="A976" s="2">
        <v>35125</v>
      </c>
      <c r="B976" s="3">
        <v>396.7</v>
      </c>
      <c r="C976" s="2">
        <v>35124</v>
      </c>
      <c r="D976" s="3">
        <v>640.42999999999995</v>
      </c>
      <c r="G976">
        <f t="shared" si="31"/>
        <v>10</v>
      </c>
      <c r="H976">
        <f t="shared" si="32"/>
        <v>10000</v>
      </c>
    </row>
    <row r="977" spans="1:8" x14ac:dyDescent="0.2">
      <c r="A977" s="2">
        <v>35156</v>
      </c>
      <c r="B977" s="3">
        <v>390.15</v>
      </c>
      <c r="C977" s="2">
        <v>35153</v>
      </c>
      <c r="D977" s="3">
        <v>645.5</v>
      </c>
      <c r="G977">
        <f t="shared" si="31"/>
        <v>10</v>
      </c>
      <c r="H977">
        <f t="shared" si="32"/>
        <v>10000</v>
      </c>
    </row>
    <row r="978" spans="1:8" x14ac:dyDescent="0.2">
      <c r="A978" s="2">
        <v>35186</v>
      </c>
      <c r="B978" s="3">
        <v>390.55</v>
      </c>
      <c r="C978" s="2">
        <v>35185</v>
      </c>
      <c r="D978" s="3">
        <v>654.16999999999996</v>
      </c>
      <c r="G978">
        <f t="shared" si="31"/>
        <v>10</v>
      </c>
      <c r="H978">
        <f t="shared" si="32"/>
        <v>10000</v>
      </c>
    </row>
    <row r="979" spans="1:8" x14ac:dyDescent="0.2">
      <c r="A979" s="2">
        <v>35217</v>
      </c>
      <c r="B979" s="3">
        <v>381.3</v>
      </c>
      <c r="C979" s="2">
        <v>35216</v>
      </c>
      <c r="D979" s="3">
        <v>669.12</v>
      </c>
      <c r="G979">
        <f t="shared" si="31"/>
        <v>10</v>
      </c>
      <c r="H979">
        <f t="shared" si="32"/>
        <v>10000</v>
      </c>
    </row>
    <row r="980" spans="1:8" x14ac:dyDescent="0.2">
      <c r="A980" s="2">
        <v>35247</v>
      </c>
      <c r="B980" s="3">
        <v>385.5</v>
      </c>
      <c r="C980" s="2">
        <v>35244</v>
      </c>
      <c r="D980" s="3">
        <v>670.63</v>
      </c>
      <c r="G980">
        <f t="shared" si="31"/>
        <v>10</v>
      </c>
      <c r="H980">
        <f t="shared" si="32"/>
        <v>10000</v>
      </c>
    </row>
    <row r="981" spans="1:8" x14ac:dyDescent="0.2">
      <c r="A981" s="2">
        <v>35278</v>
      </c>
      <c r="B981" s="3">
        <v>387.25</v>
      </c>
      <c r="C981" s="2">
        <v>35277</v>
      </c>
      <c r="D981" s="3">
        <v>639.95000000000005</v>
      </c>
      <c r="G981">
        <f t="shared" si="31"/>
        <v>10</v>
      </c>
      <c r="H981">
        <f t="shared" si="32"/>
        <v>10000</v>
      </c>
    </row>
    <row r="982" spans="1:8" x14ac:dyDescent="0.2">
      <c r="A982" s="2">
        <v>35309</v>
      </c>
      <c r="B982" s="3">
        <v>379.3</v>
      </c>
      <c r="C982" s="2">
        <v>35307</v>
      </c>
      <c r="D982" s="3">
        <v>651.99</v>
      </c>
      <c r="G982">
        <f t="shared" si="31"/>
        <v>10</v>
      </c>
      <c r="H982">
        <f t="shared" si="32"/>
        <v>10000</v>
      </c>
    </row>
    <row r="983" spans="1:8" x14ac:dyDescent="0.2">
      <c r="A983" s="2">
        <v>35339</v>
      </c>
      <c r="B983" s="3">
        <v>379.3</v>
      </c>
      <c r="C983" s="2">
        <v>35338</v>
      </c>
      <c r="D983" s="3">
        <v>687.33</v>
      </c>
      <c r="G983">
        <f t="shared" si="31"/>
        <v>10</v>
      </c>
      <c r="H983">
        <f t="shared" si="32"/>
        <v>10000</v>
      </c>
    </row>
    <row r="984" spans="1:8" x14ac:dyDescent="0.2">
      <c r="A984" s="2">
        <v>35370</v>
      </c>
      <c r="B984" s="3">
        <v>371.9</v>
      </c>
      <c r="C984" s="2">
        <v>35369</v>
      </c>
      <c r="D984" s="3">
        <v>705.27</v>
      </c>
      <c r="G984">
        <f t="shared" si="31"/>
        <v>10</v>
      </c>
      <c r="H984">
        <f t="shared" si="32"/>
        <v>10000</v>
      </c>
    </row>
    <row r="985" spans="1:8" x14ac:dyDescent="0.2">
      <c r="A985" s="2">
        <v>35400</v>
      </c>
      <c r="B985" s="3">
        <v>369.55</v>
      </c>
      <c r="C985" s="2">
        <v>35398</v>
      </c>
      <c r="D985" s="3">
        <v>757.02</v>
      </c>
      <c r="G985">
        <f t="shared" si="31"/>
        <v>10</v>
      </c>
      <c r="H985">
        <f t="shared" si="32"/>
        <v>10000</v>
      </c>
    </row>
    <row r="986" spans="1:8" x14ac:dyDescent="0.2">
      <c r="A986" s="2">
        <v>35431</v>
      </c>
      <c r="B986" s="3">
        <v>345</v>
      </c>
      <c r="C986" s="2">
        <v>35430</v>
      </c>
      <c r="D986" s="3">
        <v>740.74</v>
      </c>
      <c r="G986">
        <f t="shared" si="31"/>
        <v>10</v>
      </c>
      <c r="H986">
        <f t="shared" si="32"/>
        <v>10000</v>
      </c>
    </row>
    <row r="987" spans="1:8" x14ac:dyDescent="0.2">
      <c r="A987" s="2">
        <v>35462</v>
      </c>
      <c r="B987" s="3">
        <v>360.6</v>
      </c>
      <c r="C987" s="2">
        <v>35461</v>
      </c>
      <c r="D987" s="3">
        <v>786.16</v>
      </c>
      <c r="G987">
        <f t="shared" si="31"/>
        <v>10</v>
      </c>
      <c r="H987">
        <f t="shared" si="32"/>
        <v>10000</v>
      </c>
    </row>
    <row r="988" spans="1:8" x14ac:dyDescent="0.2">
      <c r="A988" s="2">
        <v>35490</v>
      </c>
      <c r="B988" s="3">
        <v>349.5</v>
      </c>
      <c r="C988" s="2">
        <v>35489</v>
      </c>
      <c r="D988" s="3">
        <v>790.82</v>
      </c>
      <c r="G988">
        <f t="shared" si="31"/>
        <v>10</v>
      </c>
      <c r="H988">
        <f t="shared" si="32"/>
        <v>10000</v>
      </c>
    </row>
    <row r="989" spans="1:8" x14ac:dyDescent="0.2">
      <c r="A989" s="2">
        <v>35521</v>
      </c>
      <c r="B989" s="3">
        <v>340.45</v>
      </c>
      <c r="C989" s="2">
        <v>35520</v>
      </c>
      <c r="D989" s="3">
        <v>757.12</v>
      </c>
      <c r="G989">
        <f t="shared" si="31"/>
        <v>10</v>
      </c>
      <c r="H989">
        <f t="shared" si="32"/>
        <v>10000</v>
      </c>
    </row>
    <row r="990" spans="1:8" x14ac:dyDescent="0.2">
      <c r="A990" s="2">
        <v>35551</v>
      </c>
      <c r="B990" s="3">
        <v>345.75</v>
      </c>
      <c r="C990" s="2">
        <v>35550</v>
      </c>
      <c r="D990" s="3">
        <v>801.34</v>
      </c>
      <c r="G990">
        <f t="shared" si="31"/>
        <v>10</v>
      </c>
      <c r="H990">
        <f t="shared" si="32"/>
        <v>10000</v>
      </c>
    </row>
    <row r="991" spans="1:8" x14ac:dyDescent="0.2">
      <c r="A991" s="2">
        <v>35582</v>
      </c>
      <c r="B991" s="3">
        <v>334.05</v>
      </c>
      <c r="C991" s="2">
        <v>35580</v>
      </c>
      <c r="D991" s="3">
        <v>848.28</v>
      </c>
      <c r="G991">
        <f t="shared" si="31"/>
        <v>10</v>
      </c>
      <c r="H991">
        <f t="shared" si="32"/>
        <v>10000</v>
      </c>
    </row>
    <row r="992" spans="1:8" x14ac:dyDescent="0.2">
      <c r="A992" s="2">
        <v>35612</v>
      </c>
      <c r="B992" s="3">
        <v>326</v>
      </c>
      <c r="C992" s="2">
        <v>35611</v>
      </c>
      <c r="D992" s="3">
        <v>885.14</v>
      </c>
      <c r="G992">
        <f t="shared" si="31"/>
        <v>10</v>
      </c>
      <c r="H992">
        <f t="shared" si="32"/>
        <v>10000</v>
      </c>
    </row>
    <row r="993" spans="1:8" x14ac:dyDescent="0.2">
      <c r="A993" s="2">
        <v>35643</v>
      </c>
      <c r="B993" s="3">
        <v>325.39999999999998</v>
      </c>
      <c r="C993" s="2">
        <v>35642</v>
      </c>
      <c r="D993" s="3">
        <v>954.31</v>
      </c>
      <c r="G993">
        <f t="shared" si="31"/>
        <v>10</v>
      </c>
      <c r="H993">
        <f t="shared" si="32"/>
        <v>10000</v>
      </c>
    </row>
    <row r="994" spans="1:8" x14ac:dyDescent="0.2">
      <c r="A994" s="2">
        <v>35674</v>
      </c>
      <c r="B994" s="3">
        <v>328.75</v>
      </c>
      <c r="C994" s="2">
        <v>35671</v>
      </c>
      <c r="D994" s="3">
        <v>899.47</v>
      </c>
      <c r="G994">
        <f t="shared" si="31"/>
        <v>10</v>
      </c>
      <c r="H994">
        <f t="shared" si="32"/>
        <v>10000</v>
      </c>
    </row>
    <row r="995" spans="1:8" x14ac:dyDescent="0.2">
      <c r="A995" s="2">
        <v>35704</v>
      </c>
      <c r="B995" s="3">
        <v>310.39999999999998</v>
      </c>
      <c r="C995" s="2">
        <v>35703</v>
      </c>
      <c r="D995" s="3">
        <v>947.28</v>
      </c>
      <c r="G995">
        <f t="shared" si="31"/>
        <v>10</v>
      </c>
      <c r="H995">
        <f t="shared" si="32"/>
        <v>10000</v>
      </c>
    </row>
    <row r="996" spans="1:8" x14ac:dyDescent="0.2">
      <c r="A996" s="2">
        <v>35735</v>
      </c>
      <c r="B996" s="3">
        <v>296.89999999999998</v>
      </c>
      <c r="C996" s="2">
        <v>35734</v>
      </c>
      <c r="D996" s="3">
        <v>914.62</v>
      </c>
      <c r="G996">
        <f t="shared" si="31"/>
        <v>10</v>
      </c>
      <c r="H996">
        <f t="shared" si="32"/>
        <v>10000</v>
      </c>
    </row>
    <row r="997" spans="1:8" x14ac:dyDescent="0.2">
      <c r="A997" s="2">
        <v>35765</v>
      </c>
      <c r="B997" s="3">
        <v>289.2</v>
      </c>
      <c r="C997" s="2">
        <v>35762</v>
      </c>
      <c r="D997" s="3">
        <v>955.4</v>
      </c>
      <c r="G997">
        <f t="shared" si="31"/>
        <v>10</v>
      </c>
      <c r="H997">
        <f t="shared" si="32"/>
        <v>10000</v>
      </c>
    </row>
    <row r="998" spans="1:8" x14ac:dyDescent="0.2">
      <c r="A998" s="2">
        <v>35796</v>
      </c>
      <c r="B998" s="3">
        <v>301.8</v>
      </c>
      <c r="C998" s="2">
        <v>35795</v>
      </c>
      <c r="D998" s="3">
        <v>970.43</v>
      </c>
      <c r="G998">
        <f t="shared" si="31"/>
        <v>10</v>
      </c>
      <c r="H998">
        <f t="shared" si="32"/>
        <v>10000</v>
      </c>
    </row>
    <row r="999" spans="1:8" x14ac:dyDescent="0.2">
      <c r="A999" s="2">
        <v>35827</v>
      </c>
      <c r="B999" s="3">
        <v>296.55</v>
      </c>
      <c r="C999" s="2">
        <v>35825</v>
      </c>
      <c r="D999" s="3">
        <v>980.28</v>
      </c>
      <c r="G999">
        <f t="shared" si="31"/>
        <v>10</v>
      </c>
      <c r="H999">
        <f t="shared" si="32"/>
        <v>10000</v>
      </c>
    </row>
    <row r="1000" spans="1:8" x14ac:dyDescent="0.2">
      <c r="A1000" s="2">
        <v>35855</v>
      </c>
      <c r="B1000" s="3">
        <v>299.89999999999998</v>
      </c>
      <c r="C1000" s="2">
        <v>35853</v>
      </c>
      <c r="D1000" s="3">
        <v>1049.3399999999999</v>
      </c>
      <c r="G1000">
        <f t="shared" si="31"/>
        <v>10</v>
      </c>
      <c r="H1000">
        <f t="shared" si="32"/>
        <v>10000</v>
      </c>
    </row>
    <row r="1001" spans="1:8" x14ac:dyDescent="0.2">
      <c r="A1001" s="2">
        <v>35886</v>
      </c>
      <c r="B1001" s="3">
        <v>310.7</v>
      </c>
      <c r="C1001" s="2">
        <v>35885</v>
      </c>
      <c r="D1001" s="3">
        <v>1101.75</v>
      </c>
      <c r="G1001">
        <f t="shared" si="31"/>
        <v>10</v>
      </c>
      <c r="H1001">
        <f t="shared" si="32"/>
        <v>10000</v>
      </c>
    </row>
    <row r="1002" spans="1:8" x14ac:dyDescent="0.2">
      <c r="A1002" s="2">
        <v>35916</v>
      </c>
      <c r="B1002" s="3">
        <v>292.39999999999998</v>
      </c>
      <c r="C1002" s="2">
        <v>35915</v>
      </c>
      <c r="D1002" s="3">
        <v>1111.75</v>
      </c>
      <c r="G1002">
        <f t="shared" si="31"/>
        <v>10</v>
      </c>
      <c r="H1002">
        <f t="shared" si="32"/>
        <v>10000</v>
      </c>
    </row>
    <row r="1003" spans="1:8" x14ac:dyDescent="0.2">
      <c r="A1003" s="2">
        <v>35947</v>
      </c>
      <c r="B1003" s="3">
        <v>295.75</v>
      </c>
      <c r="C1003" s="2">
        <v>35944</v>
      </c>
      <c r="D1003" s="3">
        <v>1090.82</v>
      </c>
      <c r="G1003">
        <f t="shared" si="31"/>
        <v>10</v>
      </c>
      <c r="H1003">
        <f t="shared" si="32"/>
        <v>10000</v>
      </c>
    </row>
    <row r="1004" spans="1:8" x14ac:dyDescent="0.2">
      <c r="A1004" s="2">
        <v>35977</v>
      </c>
      <c r="B1004" s="3">
        <v>289.39999999999998</v>
      </c>
      <c r="C1004" s="2">
        <v>35976</v>
      </c>
      <c r="D1004" s="3">
        <v>1133.8399999999999</v>
      </c>
      <c r="G1004">
        <f t="shared" si="31"/>
        <v>10</v>
      </c>
      <c r="H1004">
        <f t="shared" si="32"/>
        <v>10000</v>
      </c>
    </row>
    <row r="1005" spans="1:8" x14ac:dyDescent="0.2">
      <c r="A1005" s="2">
        <v>36008</v>
      </c>
      <c r="B1005" s="3">
        <v>273.39999999999998</v>
      </c>
      <c r="C1005" s="2">
        <v>36007</v>
      </c>
      <c r="D1005" s="3">
        <v>1120.67</v>
      </c>
      <c r="G1005">
        <f t="shared" si="31"/>
        <v>10</v>
      </c>
      <c r="H1005">
        <f t="shared" si="32"/>
        <v>10000</v>
      </c>
    </row>
    <row r="1006" spans="1:8" x14ac:dyDescent="0.2">
      <c r="A1006" s="2">
        <v>36039</v>
      </c>
      <c r="B1006" s="3">
        <v>294.10000000000002</v>
      </c>
      <c r="C1006" s="2">
        <v>36038</v>
      </c>
      <c r="D1006" s="3">
        <v>957.28</v>
      </c>
      <c r="G1006">
        <f t="shared" si="31"/>
        <v>10</v>
      </c>
      <c r="H1006">
        <f t="shared" si="32"/>
        <v>10000</v>
      </c>
    </row>
    <row r="1007" spans="1:8" x14ac:dyDescent="0.2">
      <c r="A1007" s="2">
        <v>36069</v>
      </c>
      <c r="B1007" s="3">
        <v>293.10000000000002</v>
      </c>
      <c r="C1007" s="2">
        <v>36068</v>
      </c>
      <c r="D1007" s="3">
        <v>1017.01</v>
      </c>
      <c r="G1007">
        <f t="shared" si="31"/>
        <v>10</v>
      </c>
      <c r="H1007">
        <f t="shared" si="32"/>
        <v>10000</v>
      </c>
    </row>
    <row r="1008" spans="1:8" x14ac:dyDescent="0.2">
      <c r="A1008" s="2">
        <v>36100</v>
      </c>
      <c r="B1008" s="3">
        <v>295.75</v>
      </c>
      <c r="C1008" s="2">
        <v>36098</v>
      </c>
      <c r="D1008" s="3">
        <v>1098.67</v>
      </c>
      <c r="G1008">
        <f t="shared" si="31"/>
        <v>10</v>
      </c>
      <c r="H1008">
        <f t="shared" si="32"/>
        <v>10000</v>
      </c>
    </row>
    <row r="1009" spans="1:8" x14ac:dyDescent="0.2">
      <c r="A1009" s="2">
        <v>36130</v>
      </c>
      <c r="B1009" s="3">
        <v>287.45</v>
      </c>
      <c r="C1009" s="2">
        <v>36129</v>
      </c>
      <c r="D1009" s="3">
        <v>1163.6300000000001</v>
      </c>
      <c r="G1009">
        <f t="shared" si="31"/>
        <v>10</v>
      </c>
      <c r="H1009">
        <f t="shared" si="32"/>
        <v>10000</v>
      </c>
    </row>
    <row r="1010" spans="1:8" x14ac:dyDescent="0.2">
      <c r="A1010" s="2">
        <v>36161</v>
      </c>
      <c r="B1010" s="3">
        <v>285.64999999999998</v>
      </c>
      <c r="C1010" s="2">
        <v>36160</v>
      </c>
      <c r="D1010" s="3">
        <v>1229.23</v>
      </c>
      <c r="G1010">
        <f t="shared" si="31"/>
        <v>10</v>
      </c>
      <c r="H1010">
        <f t="shared" si="32"/>
        <v>10000</v>
      </c>
    </row>
    <row r="1011" spans="1:8" x14ac:dyDescent="0.2">
      <c r="A1011" s="2">
        <v>36192</v>
      </c>
      <c r="B1011" s="3">
        <v>286.8</v>
      </c>
      <c r="C1011" s="2">
        <v>36189</v>
      </c>
      <c r="D1011" s="3">
        <v>1279.6400000000001</v>
      </c>
      <c r="G1011">
        <f t="shared" si="31"/>
        <v>10</v>
      </c>
      <c r="H1011">
        <f t="shared" si="32"/>
        <v>10000</v>
      </c>
    </row>
    <row r="1012" spans="1:8" x14ac:dyDescent="0.2">
      <c r="A1012" s="2">
        <v>36220</v>
      </c>
      <c r="B1012" s="3">
        <v>279.8</v>
      </c>
      <c r="C1012" s="2">
        <v>36217</v>
      </c>
      <c r="D1012" s="3">
        <v>1238.33</v>
      </c>
      <c r="G1012">
        <f t="shared" si="31"/>
        <v>10</v>
      </c>
      <c r="H1012">
        <f t="shared" si="32"/>
        <v>10000</v>
      </c>
    </row>
    <row r="1013" spans="1:8" x14ac:dyDescent="0.2">
      <c r="A1013" s="2">
        <v>36251</v>
      </c>
      <c r="B1013" s="3">
        <v>285.85000000000002</v>
      </c>
      <c r="C1013" s="2">
        <v>36250</v>
      </c>
      <c r="D1013" s="3">
        <v>1286.3699999999999</v>
      </c>
      <c r="G1013">
        <f t="shared" si="31"/>
        <v>10</v>
      </c>
      <c r="H1013">
        <f t="shared" si="32"/>
        <v>10000</v>
      </c>
    </row>
    <row r="1014" spans="1:8" x14ac:dyDescent="0.2">
      <c r="A1014" s="2">
        <v>36281</v>
      </c>
      <c r="B1014" s="3">
        <v>271.05</v>
      </c>
      <c r="C1014" s="2">
        <v>36280</v>
      </c>
      <c r="D1014" s="3">
        <v>1335.18</v>
      </c>
      <c r="G1014">
        <f t="shared" si="31"/>
        <v>10</v>
      </c>
      <c r="H1014">
        <f t="shared" si="32"/>
        <v>10000</v>
      </c>
    </row>
    <row r="1015" spans="1:8" x14ac:dyDescent="0.2">
      <c r="A1015" s="2">
        <v>36312</v>
      </c>
      <c r="B1015" s="3">
        <v>261.2</v>
      </c>
      <c r="C1015" s="2">
        <v>36308</v>
      </c>
      <c r="D1015" s="3">
        <v>1301.8399999999999</v>
      </c>
      <c r="G1015">
        <f t="shared" si="31"/>
        <v>10</v>
      </c>
      <c r="H1015">
        <f t="shared" si="32"/>
        <v>10000</v>
      </c>
    </row>
    <row r="1016" spans="1:8" x14ac:dyDescent="0.2">
      <c r="A1016" s="2">
        <v>36342</v>
      </c>
      <c r="B1016" s="3">
        <v>256.75</v>
      </c>
      <c r="C1016" s="2">
        <v>36341</v>
      </c>
      <c r="D1016" s="3">
        <v>1372.71</v>
      </c>
      <c r="G1016">
        <f t="shared" si="31"/>
        <v>10</v>
      </c>
      <c r="H1016">
        <f t="shared" si="32"/>
        <v>10000</v>
      </c>
    </row>
    <row r="1017" spans="1:8" x14ac:dyDescent="0.2">
      <c r="A1017" s="2">
        <v>36373</v>
      </c>
      <c r="B1017" s="3">
        <v>254.6</v>
      </c>
      <c r="C1017" s="2">
        <v>36371</v>
      </c>
      <c r="D1017" s="3">
        <v>1328.72</v>
      </c>
      <c r="G1017">
        <f t="shared" si="31"/>
        <v>10</v>
      </c>
      <c r="H1017">
        <f t="shared" si="32"/>
        <v>10000</v>
      </c>
    </row>
    <row r="1018" spans="1:8" x14ac:dyDescent="0.2">
      <c r="A1018" s="2">
        <v>36404</v>
      </c>
      <c r="B1018" s="3">
        <v>303.75</v>
      </c>
      <c r="C1018" s="2">
        <v>36403</v>
      </c>
      <c r="D1018" s="3">
        <v>1320.41</v>
      </c>
      <c r="G1018">
        <f t="shared" si="31"/>
        <v>10</v>
      </c>
      <c r="H1018">
        <f t="shared" si="32"/>
        <v>10000</v>
      </c>
    </row>
    <row r="1019" spans="1:8" x14ac:dyDescent="0.2">
      <c r="A1019" s="2">
        <v>36434</v>
      </c>
      <c r="B1019" s="3">
        <v>298.85000000000002</v>
      </c>
      <c r="C1019" s="2">
        <v>36433</v>
      </c>
      <c r="D1019" s="3">
        <v>1282.71</v>
      </c>
      <c r="G1019">
        <f t="shared" si="31"/>
        <v>10</v>
      </c>
      <c r="H1019">
        <f t="shared" si="32"/>
        <v>10000</v>
      </c>
    </row>
    <row r="1020" spans="1:8" x14ac:dyDescent="0.2">
      <c r="A1020" s="2">
        <v>36465</v>
      </c>
      <c r="B1020" s="3">
        <v>292</v>
      </c>
      <c r="C1020" s="2">
        <v>36462</v>
      </c>
      <c r="D1020" s="3">
        <v>1362.93</v>
      </c>
      <c r="G1020">
        <f t="shared" si="31"/>
        <v>10</v>
      </c>
      <c r="H1020">
        <f t="shared" si="32"/>
        <v>10000</v>
      </c>
    </row>
    <row r="1021" spans="1:8" x14ac:dyDescent="0.2">
      <c r="A1021" s="2">
        <v>36495</v>
      </c>
      <c r="B1021" s="3">
        <v>290.85000000000002</v>
      </c>
      <c r="C1021" s="2">
        <v>36494</v>
      </c>
      <c r="D1021" s="3">
        <v>1388.91</v>
      </c>
      <c r="G1021">
        <f t="shared" si="31"/>
        <v>10</v>
      </c>
      <c r="H1021">
        <f t="shared" si="32"/>
        <v>10000</v>
      </c>
    </row>
    <row r="1022" spans="1:8" x14ac:dyDescent="0.2">
      <c r="A1022" s="2">
        <v>36526</v>
      </c>
      <c r="B1022" s="3">
        <v>283.05</v>
      </c>
      <c r="C1022" s="2">
        <v>36525</v>
      </c>
      <c r="D1022" s="3">
        <v>1469.25</v>
      </c>
      <c r="G1022">
        <f t="shared" si="31"/>
        <v>10</v>
      </c>
      <c r="H1022">
        <f t="shared" si="32"/>
        <v>10000</v>
      </c>
    </row>
    <row r="1023" spans="1:8" x14ac:dyDescent="0.2">
      <c r="A1023" s="2">
        <v>36557</v>
      </c>
      <c r="B1023" s="3">
        <v>294</v>
      </c>
      <c r="C1023" s="2">
        <v>36556</v>
      </c>
      <c r="D1023" s="3">
        <v>1394.46</v>
      </c>
      <c r="G1023">
        <f t="shared" si="31"/>
        <v>10</v>
      </c>
      <c r="H1023">
        <f t="shared" si="32"/>
        <v>10000</v>
      </c>
    </row>
    <row r="1024" spans="1:8" x14ac:dyDescent="0.2">
      <c r="A1024" s="2">
        <v>36586</v>
      </c>
      <c r="B1024" s="3">
        <v>275.89999999999998</v>
      </c>
      <c r="C1024" s="2">
        <v>36585</v>
      </c>
      <c r="D1024" s="3">
        <v>1366.42</v>
      </c>
      <c r="G1024">
        <f t="shared" si="31"/>
        <v>10</v>
      </c>
      <c r="H1024">
        <f t="shared" si="32"/>
        <v>10000</v>
      </c>
    </row>
    <row r="1025" spans="1:8" x14ac:dyDescent="0.2">
      <c r="A1025" s="2">
        <v>36617</v>
      </c>
      <c r="B1025" s="3">
        <v>275.85000000000002</v>
      </c>
      <c r="C1025" s="2">
        <v>36616</v>
      </c>
      <c r="D1025" s="3">
        <v>1498.58</v>
      </c>
      <c r="G1025">
        <f t="shared" si="31"/>
        <v>10</v>
      </c>
      <c r="H1025">
        <f t="shared" si="32"/>
        <v>10000</v>
      </c>
    </row>
    <row r="1026" spans="1:8" x14ac:dyDescent="0.2">
      <c r="A1026" s="2">
        <v>36647</v>
      </c>
      <c r="B1026" s="3">
        <v>272.25</v>
      </c>
      <c r="C1026" s="2">
        <v>36644</v>
      </c>
      <c r="D1026" s="3">
        <v>1452.43</v>
      </c>
      <c r="G1026">
        <f t="shared" si="31"/>
        <v>10</v>
      </c>
      <c r="H1026">
        <f t="shared" si="32"/>
        <v>10000</v>
      </c>
    </row>
    <row r="1027" spans="1:8" x14ac:dyDescent="0.2">
      <c r="A1027" s="2">
        <v>36678</v>
      </c>
      <c r="B1027" s="3">
        <v>289.14999999999998</v>
      </c>
      <c r="C1027" s="2">
        <v>36677</v>
      </c>
      <c r="D1027" s="3">
        <v>1420.6</v>
      </c>
      <c r="G1027">
        <f t="shared" ref="G1027:G1090" si="33">IF(AND(A1027&gt;=DATE(1973,1,1), A1027&lt;=DATE(1982,12,31)), 10000, 10)</f>
        <v>10</v>
      </c>
      <c r="H1027">
        <f t="shared" ref="H1027:H1090" si="34">IF(AND(A1027&gt;=DATE(1983,1,1), A1027&lt;=DATE(2007,12,31)), 10000, 10)</f>
        <v>10000</v>
      </c>
    </row>
    <row r="1028" spans="1:8" x14ac:dyDescent="0.2">
      <c r="A1028" s="2">
        <v>36708</v>
      </c>
      <c r="B1028" s="3">
        <v>277.39999999999998</v>
      </c>
      <c r="C1028" s="2">
        <v>36707</v>
      </c>
      <c r="D1028" s="3">
        <v>1454.6</v>
      </c>
      <c r="G1028">
        <f t="shared" si="33"/>
        <v>10</v>
      </c>
      <c r="H1028">
        <f t="shared" si="34"/>
        <v>10000</v>
      </c>
    </row>
    <row r="1029" spans="1:8" x14ac:dyDescent="0.2">
      <c r="A1029" s="2">
        <v>36739</v>
      </c>
      <c r="B1029" s="3">
        <v>274.95</v>
      </c>
      <c r="C1029" s="2">
        <v>36738</v>
      </c>
      <c r="D1029" s="3">
        <v>1430.83</v>
      </c>
      <c r="G1029">
        <f t="shared" si="33"/>
        <v>10</v>
      </c>
      <c r="H1029">
        <f t="shared" si="34"/>
        <v>10000</v>
      </c>
    </row>
    <row r="1030" spans="1:8" x14ac:dyDescent="0.2">
      <c r="A1030" s="2">
        <v>36770</v>
      </c>
      <c r="B1030" s="3">
        <v>274.10000000000002</v>
      </c>
      <c r="C1030" s="2">
        <v>36769</v>
      </c>
      <c r="D1030" s="3">
        <v>1517.68</v>
      </c>
      <c r="G1030">
        <f t="shared" si="33"/>
        <v>10</v>
      </c>
      <c r="H1030">
        <f t="shared" si="34"/>
        <v>10000</v>
      </c>
    </row>
    <row r="1031" spans="1:8" x14ac:dyDescent="0.2">
      <c r="A1031" s="2">
        <v>36800</v>
      </c>
      <c r="B1031" s="3">
        <v>263.8</v>
      </c>
      <c r="C1031" s="2">
        <v>36798</v>
      </c>
      <c r="D1031" s="3">
        <v>1436.51</v>
      </c>
      <c r="G1031">
        <f t="shared" si="33"/>
        <v>10</v>
      </c>
      <c r="H1031">
        <f t="shared" si="34"/>
        <v>10000</v>
      </c>
    </row>
    <row r="1032" spans="1:8" x14ac:dyDescent="0.2">
      <c r="A1032" s="2">
        <v>36831</v>
      </c>
      <c r="B1032" s="3">
        <v>267</v>
      </c>
      <c r="C1032" s="2">
        <v>36830</v>
      </c>
      <c r="D1032" s="3">
        <v>1429.4</v>
      </c>
      <c r="G1032">
        <f t="shared" si="33"/>
        <v>10</v>
      </c>
      <c r="H1032">
        <f t="shared" si="34"/>
        <v>10000</v>
      </c>
    </row>
    <row r="1033" spans="1:8" x14ac:dyDescent="0.2">
      <c r="A1033" s="2">
        <v>36861</v>
      </c>
      <c r="B1033" s="3">
        <v>272.64999999999998</v>
      </c>
      <c r="C1033" s="2">
        <v>36860</v>
      </c>
      <c r="D1033" s="3">
        <v>1314.95</v>
      </c>
      <c r="G1033">
        <f t="shared" si="33"/>
        <v>10</v>
      </c>
      <c r="H1033">
        <f t="shared" si="34"/>
        <v>10000</v>
      </c>
    </row>
    <row r="1034" spans="1:8" x14ac:dyDescent="0.2">
      <c r="A1034" s="2">
        <v>36892</v>
      </c>
      <c r="B1034" s="3">
        <v>266.2</v>
      </c>
      <c r="C1034" s="2">
        <v>36889</v>
      </c>
      <c r="D1034" s="3">
        <v>1320.28</v>
      </c>
      <c r="G1034">
        <f t="shared" si="33"/>
        <v>10</v>
      </c>
      <c r="H1034">
        <f t="shared" si="34"/>
        <v>10000</v>
      </c>
    </row>
    <row r="1035" spans="1:8" x14ac:dyDescent="0.2">
      <c r="A1035" s="2">
        <v>36923</v>
      </c>
      <c r="B1035" s="3">
        <v>265</v>
      </c>
      <c r="C1035" s="2">
        <v>36922</v>
      </c>
      <c r="D1035" s="3">
        <v>1366.01</v>
      </c>
      <c r="G1035">
        <f t="shared" si="33"/>
        <v>10</v>
      </c>
      <c r="H1035">
        <f t="shared" si="34"/>
        <v>10000</v>
      </c>
    </row>
    <row r="1036" spans="1:8" x14ac:dyDescent="0.2">
      <c r="A1036" s="2">
        <v>36951</v>
      </c>
      <c r="B1036" s="3">
        <v>259.05</v>
      </c>
      <c r="C1036" s="2">
        <v>36950</v>
      </c>
      <c r="D1036" s="3">
        <v>1239.94</v>
      </c>
      <c r="G1036">
        <f t="shared" si="33"/>
        <v>10</v>
      </c>
      <c r="H1036">
        <f t="shared" si="34"/>
        <v>10000</v>
      </c>
    </row>
    <row r="1037" spans="1:8" x14ac:dyDescent="0.2">
      <c r="A1037" s="2">
        <v>36982</v>
      </c>
      <c r="B1037" s="3">
        <v>263.45</v>
      </c>
      <c r="C1037" s="2">
        <v>36980</v>
      </c>
      <c r="D1037" s="3">
        <v>1160.33</v>
      </c>
      <c r="G1037">
        <f t="shared" si="33"/>
        <v>10</v>
      </c>
      <c r="H1037">
        <f t="shared" si="34"/>
        <v>10000</v>
      </c>
    </row>
    <row r="1038" spans="1:8" x14ac:dyDescent="0.2">
      <c r="A1038" s="2">
        <v>37012</v>
      </c>
      <c r="B1038" s="3">
        <v>266.10000000000002</v>
      </c>
      <c r="C1038" s="2">
        <v>37011</v>
      </c>
      <c r="D1038" s="3">
        <v>1249.46</v>
      </c>
      <c r="G1038">
        <f t="shared" si="33"/>
        <v>10</v>
      </c>
      <c r="H1038">
        <f t="shared" si="34"/>
        <v>10000</v>
      </c>
    </row>
    <row r="1039" spans="1:8" x14ac:dyDescent="0.2">
      <c r="A1039" s="2">
        <v>37043</v>
      </c>
      <c r="B1039" s="3">
        <v>269.89999999999998</v>
      </c>
      <c r="C1039" s="2">
        <v>37042</v>
      </c>
      <c r="D1039" s="3">
        <v>1255.82</v>
      </c>
      <c r="G1039">
        <f t="shared" si="33"/>
        <v>10</v>
      </c>
      <c r="H1039">
        <f t="shared" si="34"/>
        <v>10000</v>
      </c>
    </row>
    <row r="1040" spans="1:8" x14ac:dyDescent="0.2">
      <c r="A1040" s="2">
        <v>37073</v>
      </c>
      <c r="B1040" s="3">
        <v>265.55</v>
      </c>
      <c r="C1040" s="2">
        <v>37071</v>
      </c>
      <c r="D1040" s="3">
        <v>1224.3800000000001</v>
      </c>
      <c r="G1040">
        <f t="shared" si="33"/>
        <v>10</v>
      </c>
      <c r="H1040">
        <f t="shared" si="34"/>
        <v>10000</v>
      </c>
    </row>
    <row r="1041" spans="1:8" x14ac:dyDescent="0.2">
      <c r="A1041" s="2">
        <v>37104</v>
      </c>
      <c r="B1041" s="3">
        <v>275.35000000000002</v>
      </c>
      <c r="C1041" s="2">
        <v>37103</v>
      </c>
      <c r="D1041" s="3">
        <v>1211.23</v>
      </c>
      <c r="G1041">
        <f t="shared" si="33"/>
        <v>10</v>
      </c>
      <c r="H1041">
        <f t="shared" si="34"/>
        <v>10000</v>
      </c>
    </row>
    <row r="1042" spans="1:8" x14ac:dyDescent="0.2">
      <c r="A1042" s="2">
        <v>37135</v>
      </c>
      <c r="B1042" s="3">
        <v>290.85000000000002</v>
      </c>
      <c r="C1042" s="2">
        <v>37134</v>
      </c>
      <c r="D1042" s="3">
        <v>1133.58</v>
      </c>
      <c r="G1042">
        <f t="shared" si="33"/>
        <v>10</v>
      </c>
      <c r="H1042">
        <f t="shared" si="34"/>
        <v>10000</v>
      </c>
    </row>
    <row r="1043" spans="1:8" x14ac:dyDescent="0.2">
      <c r="A1043" s="2">
        <v>37165</v>
      </c>
      <c r="B1043" s="3">
        <v>280.95</v>
      </c>
      <c r="C1043" s="2">
        <v>37162</v>
      </c>
      <c r="D1043" s="3">
        <v>1040.94</v>
      </c>
      <c r="G1043">
        <f t="shared" si="33"/>
        <v>10</v>
      </c>
      <c r="H1043">
        <f t="shared" si="34"/>
        <v>10000</v>
      </c>
    </row>
    <row r="1044" spans="1:8" x14ac:dyDescent="0.2">
      <c r="A1044" s="2">
        <v>37196</v>
      </c>
      <c r="B1044" s="3">
        <v>274.7</v>
      </c>
      <c r="C1044" s="2">
        <v>37195</v>
      </c>
      <c r="D1044" s="3">
        <v>1059.78</v>
      </c>
      <c r="G1044">
        <f t="shared" si="33"/>
        <v>10</v>
      </c>
      <c r="H1044">
        <f t="shared" si="34"/>
        <v>10000</v>
      </c>
    </row>
    <row r="1045" spans="1:8" x14ac:dyDescent="0.2">
      <c r="A1045" s="2">
        <v>37226</v>
      </c>
      <c r="B1045" s="3">
        <v>276.5</v>
      </c>
      <c r="C1045" s="2">
        <v>37225</v>
      </c>
      <c r="D1045" s="3">
        <v>1139.45</v>
      </c>
      <c r="G1045">
        <f t="shared" si="33"/>
        <v>10</v>
      </c>
      <c r="H1045">
        <f t="shared" si="34"/>
        <v>10000</v>
      </c>
    </row>
    <row r="1046" spans="1:8" x14ac:dyDescent="0.2">
      <c r="A1046" s="2">
        <v>37257</v>
      </c>
      <c r="B1046" s="3">
        <v>281.5</v>
      </c>
      <c r="C1046" s="2">
        <v>37256</v>
      </c>
      <c r="D1046" s="3">
        <v>1148.08</v>
      </c>
      <c r="G1046">
        <f t="shared" si="33"/>
        <v>10</v>
      </c>
      <c r="H1046">
        <f t="shared" si="34"/>
        <v>10000</v>
      </c>
    </row>
    <row r="1047" spans="1:8" x14ac:dyDescent="0.2">
      <c r="A1047" s="2">
        <v>37288</v>
      </c>
      <c r="B1047" s="3">
        <v>296.55</v>
      </c>
      <c r="C1047" s="2">
        <v>37287</v>
      </c>
      <c r="D1047" s="3">
        <v>1130.2</v>
      </c>
      <c r="G1047">
        <f t="shared" si="33"/>
        <v>10</v>
      </c>
      <c r="H1047">
        <f t="shared" si="34"/>
        <v>10000</v>
      </c>
    </row>
    <row r="1048" spans="1:8" x14ac:dyDescent="0.2">
      <c r="A1048" s="2">
        <v>37316</v>
      </c>
      <c r="B1048" s="3">
        <v>303</v>
      </c>
      <c r="C1048" s="2">
        <v>37315</v>
      </c>
      <c r="D1048" s="3">
        <v>1106.73</v>
      </c>
      <c r="G1048">
        <f t="shared" si="33"/>
        <v>10</v>
      </c>
      <c r="H1048">
        <f t="shared" si="34"/>
        <v>10000</v>
      </c>
    </row>
    <row r="1049" spans="1:8" x14ac:dyDescent="0.2">
      <c r="A1049" s="2">
        <v>37347</v>
      </c>
      <c r="B1049" s="3">
        <v>309.35000000000002</v>
      </c>
      <c r="C1049" s="2">
        <v>37343</v>
      </c>
      <c r="D1049" s="3">
        <v>1147.3900000000001</v>
      </c>
      <c r="G1049">
        <f t="shared" si="33"/>
        <v>10</v>
      </c>
      <c r="H1049">
        <f t="shared" si="34"/>
        <v>10000</v>
      </c>
    </row>
    <row r="1050" spans="1:8" x14ac:dyDescent="0.2">
      <c r="A1050" s="2">
        <v>37377</v>
      </c>
      <c r="B1050" s="3">
        <v>327.25</v>
      </c>
      <c r="C1050" s="2">
        <v>37376</v>
      </c>
      <c r="D1050" s="3">
        <v>1076.92</v>
      </c>
      <c r="G1050">
        <f t="shared" si="33"/>
        <v>10</v>
      </c>
      <c r="H1050">
        <f t="shared" si="34"/>
        <v>10000</v>
      </c>
    </row>
    <row r="1051" spans="1:8" x14ac:dyDescent="0.2">
      <c r="A1051" s="2">
        <v>37408</v>
      </c>
      <c r="B1051" s="3">
        <v>319.05</v>
      </c>
      <c r="C1051" s="2">
        <v>37407</v>
      </c>
      <c r="D1051" s="3">
        <v>1067.1400000000001</v>
      </c>
      <c r="G1051">
        <f t="shared" si="33"/>
        <v>10</v>
      </c>
      <c r="H1051">
        <f t="shared" si="34"/>
        <v>10000</v>
      </c>
    </row>
    <row r="1052" spans="1:8" x14ac:dyDescent="0.2">
      <c r="A1052" s="2">
        <v>37438</v>
      </c>
      <c r="B1052" s="3">
        <v>305.5</v>
      </c>
      <c r="C1052" s="2">
        <v>37435</v>
      </c>
      <c r="D1052" s="3">
        <v>989.82</v>
      </c>
      <c r="G1052">
        <f t="shared" si="33"/>
        <v>10</v>
      </c>
      <c r="H1052">
        <f t="shared" si="34"/>
        <v>10000</v>
      </c>
    </row>
    <row r="1053" spans="1:8" x14ac:dyDescent="0.2">
      <c r="A1053" s="2">
        <v>37469</v>
      </c>
      <c r="B1053" s="3">
        <v>312.39999999999998</v>
      </c>
      <c r="C1053" s="2">
        <v>37468</v>
      </c>
      <c r="D1053" s="3">
        <v>911.62</v>
      </c>
      <c r="G1053">
        <f t="shared" si="33"/>
        <v>10</v>
      </c>
      <c r="H1053">
        <f t="shared" si="34"/>
        <v>10000</v>
      </c>
    </row>
    <row r="1054" spans="1:8" x14ac:dyDescent="0.2">
      <c r="A1054" s="2">
        <v>37500</v>
      </c>
      <c r="B1054" s="3">
        <v>322.39999999999998</v>
      </c>
      <c r="C1054" s="2">
        <v>37498</v>
      </c>
      <c r="D1054" s="3">
        <v>916.07</v>
      </c>
      <c r="G1054">
        <f t="shared" si="33"/>
        <v>10</v>
      </c>
      <c r="H1054">
        <f t="shared" si="34"/>
        <v>10000</v>
      </c>
    </row>
    <row r="1055" spans="1:8" x14ac:dyDescent="0.2">
      <c r="A1055" s="2">
        <v>37530</v>
      </c>
      <c r="B1055" s="3">
        <v>316.35000000000002</v>
      </c>
      <c r="C1055" s="2">
        <v>37529</v>
      </c>
      <c r="D1055" s="3">
        <v>815.28</v>
      </c>
      <c r="G1055">
        <f t="shared" si="33"/>
        <v>10</v>
      </c>
      <c r="H1055">
        <f t="shared" si="34"/>
        <v>10000</v>
      </c>
    </row>
    <row r="1056" spans="1:8" x14ac:dyDescent="0.2">
      <c r="A1056" s="2">
        <v>37561</v>
      </c>
      <c r="B1056" s="3">
        <v>318.25</v>
      </c>
      <c r="C1056" s="2">
        <v>37560</v>
      </c>
      <c r="D1056" s="3">
        <v>885.76</v>
      </c>
      <c r="G1056">
        <f t="shared" si="33"/>
        <v>10</v>
      </c>
      <c r="H1056">
        <f t="shared" si="34"/>
        <v>10000</v>
      </c>
    </row>
    <row r="1057" spans="1:8" x14ac:dyDescent="0.2">
      <c r="A1057" s="2">
        <v>37591</v>
      </c>
      <c r="B1057" s="3">
        <v>342.75</v>
      </c>
      <c r="C1057" s="2">
        <v>37589</v>
      </c>
      <c r="D1057" s="3">
        <v>936.31</v>
      </c>
      <c r="G1057">
        <f t="shared" si="33"/>
        <v>10</v>
      </c>
      <c r="H1057">
        <f t="shared" si="34"/>
        <v>10000</v>
      </c>
    </row>
    <row r="1058" spans="1:8" x14ac:dyDescent="0.2">
      <c r="A1058" s="2">
        <v>37622</v>
      </c>
      <c r="B1058" s="3">
        <v>370.35</v>
      </c>
      <c r="C1058" s="2">
        <v>37621</v>
      </c>
      <c r="D1058" s="3">
        <v>879.82</v>
      </c>
      <c r="G1058">
        <f t="shared" si="33"/>
        <v>10</v>
      </c>
      <c r="H1058">
        <f t="shared" si="34"/>
        <v>10000</v>
      </c>
    </row>
    <row r="1059" spans="1:8" x14ac:dyDescent="0.2">
      <c r="A1059" s="2">
        <v>37653</v>
      </c>
      <c r="B1059" s="3">
        <v>347.65</v>
      </c>
      <c r="C1059" s="2">
        <v>37652</v>
      </c>
      <c r="D1059" s="3">
        <v>855.7</v>
      </c>
      <c r="G1059">
        <f t="shared" si="33"/>
        <v>10</v>
      </c>
      <c r="H1059">
        <f t="shared" si="34"/>
        <v>10000</v>
      </c>
    </row>
    <row r="1060" spans="1:8" x14ac:dyDescent="0.2">
      <c r="A1060" s="2">
        <v>37681</v>
      </c>
      <c r="B1060" s="3">
        <v>335.35</v>
      </c>
      <c r="C1060" s="2">
        <v>37680</v>
      </c>
      <c r="D1060" s="3">
        <v>841.15</v>
      </c>
      <c r="G1060">
        <f t="shared" si="33"/>
        <v>10</v>
      </c>
      <c r="H1060">
        <f t="shared" si="34"/>
        <v>10000</v>
      </c>
    </row>
    <row r="1061" spans="1:8" x14ac:dyDescent="0.2">
      <c r="A1061" s="2">
        <v>37712</v>
      </c>
      <c r="B1061" s="3">
        <v>336</v>
      </c>
      <c r="C1061" s="2">
        <v>37711</v>
      </c>
      <c r="D1061" s="3">
        <v>848.18</v>
      </c>
      <c r="G1061">
        <f t="shared" si="33"/>
        <v>10</v>
      </c>
      <c r="H1061">
        <f t="shared" si="34"/>
        <v>10000</v>
      </c>
    </row>
    <row r="1062" spans="1:8" x14ac:dyDescent="0.2">
      <c r="A1062" s="2">
        <v>37742</v>
      </c>
      <c r="B1062" s="3">
        <v>365.8</v>
      </c>
      <c r="C1062" s="2">
        <v>37741</v>
      </c>
      <c r="D1062" s="3">
        <v>916.92</v>
      </c>
      <c r="G1062">
        <f t="shared" si="33"/>
        <v>10</v>
      </c>
      <c r="H1062">
        <f t="shared" si="34"/>
        <v>10000</v>
      </c>
    </row>
    <row r="1063" spans="1:8" x14ac:dyDescent="0.2">
      <c r="A1063" s="2">
        <v>37773</v>
      </c>
      <c r="B1063" s="3">
        <v>345.15</v>
      </c>
      <c r="C1063" s="2">
        <v>37771</v>
      </c>
      <c r="D1063" s="3">
        <v>963.59</v>
      </c>
      <c r="G1063">
        <f t="shared" si="33"/>
        <v>10</v>
      </c>
      <c r="H1063">
        <f t="shared" si="34"/>
        <v>10000</v>
      </c>
    </row>
    <row r="1064" spans="1:8" x14ac:dyDescent="0.2">
      <c r="A1064" s="2">
        <v>37803</v>
      </c>
      <c r="B1064" s="3">
        <v>355.75</v>
      </c>
      <c r="C1064" s="2">
        <v>37802</v>
      </c>
      <c r="D1064" s="3">
        <v>974.5</v>
      </c>
      <c r="G1064">
        <f t="shared" si="33"/>
        <v>10</v>
      </c>
      <c r="H1064">
        <f t="shared" si="34"/>
        <v>10000</v>
      </c>
    </row>
    <row r="1065" spans="1:8" x14ac:dyDescent="0.2">
      <c r="A1065" s="2">
        <v>37834</v>
      </c>
      <c r="B1065" s="3">
        <v>371</v>
      </c>
      <c r="C1065" s="2">
        <v>37833</v>
      </c>
      <c r="D1065" s="3">
        <v>990.31</v>
      </c>
      <c r="G1065">
        <f t="shared" si="33"/>
        <v>10</v>
      </c>
      <c r="H1065">
        <f t="shared" si="34"/>
        <v>10000</v>
      </c>
    </row>
    <row r="1066" spans="1:8" x14ac:dyDescent="0.2">
      <c r="A1066" s="2">
        <v>37865</v>
      </c>
      <c r="B1066" s="3">
        <v>384.5</v>
      </c>
      <c r="C1066" s="2">
        <v>37862</v>
      </c>
      <c r="D1066" s="3">
        <v>1008.01</v>
      </c>
      <c r="G1066">
        <f t="shared" si="33"/>
        <v>10</v>
      </c>
      <c r="H1066">
        <f t="shared" si="34"/>
        <v>10000</v>
      </c>
    </row>
    <row r="1067" spans="1:8" x14ac:dyDescent="0.2">
      <c r="A1067" s="2">
        <v>37895</v>
      </c>
      <c r="B1067" s="3">
        <v>384.6</v>
      </c>
      <c r="C1067" s="2">
        <v>37894</v>
      </c>
      <c r="D1067" s="3">
        <v>995.97</v>
      </c>
      <c r="G1067">
        <f t="shared" si="33"/>
        <v>10</v>
      </c>
      <c r="H1067">
        <f t="shared" si="34"/>
        <v>10000</v>
      </c>
    </row>
    <row r="1068" spans="1:8" x14ac:dyDescent="0.2">
      <c r="A1068" s="2">
        <v>37926</v>
      </c>
      <c r="B1068" s="3">
        <v>398.1</v>
      </c>
      <c r="C1068" s="2">
        <v>37925</v>
      </c>
      <c r="D1068" s="3">
        <v>1050.71</v>
      </c>
      <c r="G1068">
        <f t="shared" si="33"/>
        <v>10</v>
      </c>
      <c r="H1068">
        <f t="shared" si="34"/>
        <v>10000</v>
      </c>
    </row>
    <row r="1069" spans="1:8" x14ac:dyDescent="0.2">
      <c r="A1069" s="2">
        <v>37956</v>
      </c>
      <c r="B1069" s="3">
        <v>417.25</v>
      </c>
      <c r="C1069" s="2">
        <v>37953</v>
      </c>
      <c r="D1069" s="3">
        <v>1058.2</v>
      </c>
      <c r="G1069">
        <f t="shared" si="33"/>
        <v>10</v>
      </c>
      <c r="H1069">
        <f t="shared" si="34"/>
        <v>10000</v>
      </c>
    </row>
    <row r="1070" spans="1:8" x14ac:dyDescent="0.2">
      <c r="A1070" s="2">
        <v>37987</v>
      </c>
      <c r="B1070" s="3">
        <v>401.3</v>
      </c>
      <c r="C1070" s="2">
        <v>37986</v>
      </c>
      <c r="D1070" s="3">
        <v>1111.92</v>
      </c>
      <c r="G1070">
        <f t="shared" si="33"/>
        <v>10</v>
      </c>
      <c r="H1070">
        <f t="shared" si="34"/>
        <v>10000</v>
      </c>
    </row>
    <row r="1071" spans="1:8" x14ac:dyDescent="0.2">
      <c r="A1071" s="2">
        <v>38018</v>
      </c>
      <c r="B1071" s="3">
        <v>392.25</v>
      </c>
      <c r="C1071" s="2">
        <v>38016</v>
      </c>
      <c r="D1071" s="3">
        <v>1131.1300000000001</v>
      </c>
      <c r="G1071">
        <f t="shared" si="33"/>
        <v>10</v>
      </c>
      <c r="H1071">
        <f t="shared" si="34"/>
        <v>10000</v>
      </c>
    </row>
    <row r="1072" spans="1:8" x14ac:dyDescent="0.2">
      <c r="A1072" s="2">
        <v>38047</v>
      </c>
      <c r="B1072" s="3">
        <v>423</v>
      </c>
      <c r="C1072" s="2">
        <v>38044</v>
      </c>
      <c r="D1072" s="3">
        <v>1144.94</v>
      </c>
      <c r="G1072">
        <f t="shared" si="33"/>
        <v>10</v>
      </c>
      <c r="H1072">
        <f t="shared" si="34"/>
        <v>10000</v>
      </c>
    </row>
    <row r="1073" spans="1:8" x14ac:dyDescent="0.2">
      <c r="A1073" s="2">
        <v>38078</v>
      </c>
      <c r="B1073" s="3">
        <v>387.3</v>
      </c>
      <c r="C1073" s="2">
        <v>38077</v>
      </c>
      <c r="D1073" s="3">
        <v>1126.21</v>
      </c>
      <c r="G1073">
        <f t="shared" si="33"/>
        <v>10</v>
      </c>
      <c r="H1073">
        <f t="shared" si="34"/>
        <v>10000</v>
      </c>
    </row>
    <row r="1074" spans="1:8" x14ac:dyDescent="0.2">
      <c r="A1074" s="2">
        <v>38108</v>
      </c>
      <c r="B1074" s="3">
        <v>393.85</v>
      </c>
      <c r="C1074" s="2">
        <v>38107</v>
      </c>
      <c r="D1074" s="3">
        <v>1107.3</v>
      </c>
      <c r="G1074">
        <f t="shared" si="33"/>
        <v>10</v>
      </c>
      <c r="H1074">
        <f t="shared" si="34"/>
        <v>10000</v>
      </c>
    </row>
    <row r="1075" spans="1:8" x14ac:dyDescent="0.2">
      <c r="A1075" s="2">
        <v>38139</v>
      </c>
      <c r="B1075" s="3">
        <v>393.75</v>
      </c>
      <c r="C1075" s="2">
        <v>38135</v>
      </c>
      <c r="D1075" s="3">
        <v>1120.68</v>
      </c>
      <c r="G1075">
        <f t="shared" si="33"/>
        <v>10</v>
      </c>
      <c r="H1075">
        <f t="shared" si="34"/>
        <v>10000</v>
      </c>
    </row>
    <row r="1076" spans="1:8" x14ac:dyDescent="0.2">
      <c r="A1076" s="2">
        <v>38169</v>
      </c>
      <c r="B1076" s="3">
        <v>389.6</v>
      </c>
      <c r="C1076" s="2">
        <v>38168</v>
      </c>
      <c r="D1076" s="3">
        <v>1140.8399999999999</v>
      </c>
      <c r="G1076">
        <f t="shared" si="33"/>
        <v>10</v>
      </c>
      <c r="H1076">
        <f t="shared" si="34"/>
        <v>10000</v>
      </c>
    </row>
    <row r="1077" spans="1:8" x14ac:dyDescent="0.2">
      <c r="A1077" s="2">
        <v>38200</v>
      </c>
      <c r="B1077" s="3">
        <v>408.1</v>
      </c>
      <c r="C1077" s="2">
        <v>38198</v>
      </c>
      <c r="D1077" s="3">
        <v>1101.72</v>
      </c>
      <c r="G1077">
        <f t="shared" si="33"/>
        <v>10</v>
      </c>
      <c r="H1077">
        <f t="shared" si="34"/>
        <v>10000</v>
      </c>
    </row>
    <row r="1078" spans="1:8" x14ac:dyDescent="0.2">
      <c r="A1078" s="2">
        <v>38231</v>
      </c>
      <c r="B1078" s="3">
        <v>412.35</v>
      </c>
      <c r="C1078" s="2">
        <v>38230</v>
      </c>
      <c r="D1078" s="3">
        <v>1104.24</v>
      </c>
      <c r="G1078">
        <f t="shared" si="33"/>
        <v>10</v>
      </c>
      <c r="H1078">
        <f t="shared" si="34"/>
        <v>10000</v>
      </c>
    </row>
    <row r="1079" spans="1:8" x14ac:dyDescent="0.2">
      <c r="A1079" s="2">
        <v>38261</v>
      </c>
      <c r="B1079" s="3">
        <v>426.2</v>
      </c>
      <c r="C1079" s="2">
        <v>38260</v>
      </c>
      <c r="D1079" s="3">
        <v>1114.58</v>
      </c>
      <c r="G1079">
        <f t="shared" si="33"/>
        <v>10</v>
      </c>
      <c r="H1079">
        <f t="shared" si="34"/>
        <v>10000</v>
      </c>
    </row>
    <row r="1080" spans="1:8" x14ac:dyDescent="0.2">
      <c r="A1080" s="2">
        <v>38292</v>
      </c>
      <c r="B1080" s="3">
        <v>452</v>
      </c>
      <c r="C1080" s="2">
        <v>38289</v>
      </c>
      <c r="D1080" s="3">
        <v>1130.2</v>
      </c>
      <c r="G1080">
        <f t="shared" si="33"/>
        <v>10</v>
      </c>
      <c r="H1080">
        <f t="shared" si="34"/>
        <v>10000</v>
      </c>
    </row>
    <row r="1081" spans="1:8" x14ac:dyDescent="0.2">
      <c r="A1081" s="2">
        <v>38322</v>
      </c>
      <c r="B1081" s="3">
        <v>438</v>
      </c>
      <c r="C1081" s="2">
        <v>38321</v>
      </c>
      <c r="D1081" s="3">
        <v>1173.82</v>
      </c>
      <c r="G1081">
        <f t="shared" si="33"/>
        <v>10</v>
      </c>
      <c r="H1081">
        <f t="shared" si="34"/>
        <v>10000</v>
      </c>
    </row>
    <row r="1082" spans="1:8" x14ac:dyDescent="0.2">
      <c r="A1082" s="2">
        <v>38353</v>
      </c>
      <c r="B1082" s="3">
        <v>423.8</v>
      </c>
      <c r="C1082" s="2">
        <v>38352</v>
      </c>
      <c r="D1082" s="3">
        <v>1211.92</v>
      </c>
      <c r="G1082">
        <f t="shared" si="33"/>
        <v>10</v>
      </c>
      <c r="H1082">
        <f t="shared" si="34"/>
        <v>10000</v>
      </c>
    </row>
    <row r="1083" spans="1:8" x14ac:dyDescent="0.2">
      <c r="A1083" s="2">
        <v>38384</v>
      </c>
      <c r="B1083" s="3">
        <v>436.55</v>
      </c>
      <c r="C1083" s="2">
        <v>38383</v>
      </c>
      <c r="D1083" s="3">
        <v>1181.27</v>
      </c>
      <c r="G1083">
        <f t="shared" si="33"/>
        <v>10</v>
      </c>
      <c r="H1083">
        <f t="shared" si="34"/>
        <v>10000</v>
      </c>
    </row>
    <row r="1084" spans="1:8" x14ac:dyDescent="0.2">
      <c r="A1084" s="2">
        <v>38412</v>
      </c>
      <c r="B1084" s="3">
        <v>427.5</v>
      </c>
      <c r="C1084" s="2">
        <v>38411</v>
      </c>
      <c r="D1084" s="3">
        <v>1203.5999999999999</v>
      </c>
      <c r="G1084">
        <f t="shared" si="33"/>
        <v>10</v>
      </c>
      <c r="H1084">
        <f t="shared" si="34"/>
        <v>10000</v>
      </c>
    </row>
    <row r="1085" spans="1:8" x14ac:dyDescent="0.2">
      <c r="A1085" s="2">
        <v>38443</v>
      </c>
      <c r="B1085" s="3">
        <v>433.2</v>
      </c>
      <c r="C1085" s="2">
        <v>38442</v>
      </c>
      <c r="D1085" s="3">
        <v>1180.5899999999999</v>
      </c>
      <c r="G1085">
        <f t="shared" si="33"/>
        <v>10</v>
      </c>
      <c r="H1085">
        <f t="shared" si="34"/>
        <v>10000</v>
      </c>
    </row>
    <row r="1086" spans="1:8" x14ac:dyDescent="0.2">
      <c r="A1086" s="2">
        <v>38473</v>
      </c>
      <c r="B1086" s="3">
        <v>416.9</v>
      </c>
      <c r="C1086" s="2">
        <v>38471</v>
      </c>
      <c r="D1086" s="3">
        <v>1156.8499999999999</v>
      </c>
      <c r="G1086">
        <f t="shared" si="33"/>
        <v>10</v>
      </c>
      <c r="H1086">
        <f t="shared" si="34"/>
        <v>10000</v>
      </c>
    </row>
    <row r="1087" spans="1:8" x14ac:dyDescent="0.2">
      <c r="A1087" s="2">
        <v>38504</v>
      </c>
      <c r="B1087" s="3">
        <v>436.8</v>
      </c>
      <c r="C1087" s="2">
        <v>38503</v>
      </c>
      <c r="D1087" s="3">
        <v>1191.5</v>
      </c>
      <c r="G1087">
        <f t="shared" si="33"/>
        <v>10</v>
      </c>
      <c r="H1087">
        <f t="shared" si="34"/>
        <v>10000</v>
      </c>
    </row>
    <row r="1088" spans="1:8" x14ac:dyDescent="0.2">
      <c r="A1088" s="2">
        <v>38534</v>
      </c>
      <c r="B1088" s="3">
        <v>427.15</v>
      </c>
      <c r="C1088" s="2">
        <v>38533</v>
      </c>
      <c r="D1088" s="3">
        <v>1191.33</v>
      </c>
      <c r="G1088">
        <f t="shared" si="33"/>
        <v>10</v>
      </c>
      <c r="H1088">
        <f t="shared" si="34"/>
        <v>10000</v>
      </c>
    </row>
    <row r="1089" spans="1:8" x14ac:dyDescent="0.2">
      <c r="A1089" s="2">
        <v>38565</v>
      </c>
      <c r="B1089" s="3">
        <v>433</v>
      </c>
      <c r="C1089" s="2">
        <v>38562</v>
      </c>
      <c r="D1089" s="3">
        <v>1234.18</v>
      </c>
      <c r="G1089">
        <f t="shared" si="33"/>
        <v>10</v>
      </c>
      <c r="H1089">
        <f t="shared" si="34"/>
        <v>10000</v>
      </c>
    </row>
    <row r="1090" spans="1:8" x14ac:dyDescent="0.2">
      <c r="A1090" s="2">
        <v>38596</v>
      </c>
      <c r="B1090" s="3">
        <v>473.4</v>
      </c>
      <c r="C1090" s="2">
        <v>38595</v>
      </c>
      <c r="D1090" s="3">
        <v>1220.33</v>
      </c>
      <c r="G1090">
        <f t="shared" si="33"/>
        <v>10</v>
      </c>
      <c r="H1090">
        <f t="shared" si="34"/>
        <v>10000</v>
      </c>
    </row>
    <row r="1091" spans="1:8" x14ac:dyDescent="0.2">
      <c r="A1091" s="2">
        <v>38626</v>
      </c>
      <c r="B1091" s="3">
        <v>472.65</v>
      </c>
      <c r="C1091" s="2">
        <v>38625</v>
      </c>
      <c r="D1091" s="3">
        <v>1228.81</v>
      </c>
      <c r="G1091">
        <f t="shared" ref="G1091:G1154" si="35">IF(AND(A1091&gt;=DATE(1973,1,1), A1091&lt;=DATE(1982,12,31)), 10000, 10)</f>
        <v>10</v>
      </c>
      <c r="H1091">
        <f t="shared" ref="H1091:H1154" si="36">IF(AND(A1091&gt;=DATE(1983,1,1), A1091&lt;=DATE(2007,12,31)), 10000, 10)</f>
        <v>10000</v>
      </c>
    </row>
    <row r="1092" spans="1:8" x14ac:dyDescent="0.2">
      <c r="A1092" s="2">
        <v>38657</v>
      </c>
      <c r="B1092" s="3">
        <v>493.8</v>
      </c>
      <c r="C1092" s="2">
        <v>38656</v>
      </c>
      <c r="D1092" s="3">
        <v>1207.01</v>
      </c>
      <c r="G1092">
        <f t="shared" si="35"/>
        <v>10</v>
      </c>
      <c r="H1092">
        <f t="shared" si="36"/>
        <v>10000</v>
      </c>
    </row>
    <row r="1093" spans="1:8" x14ac:dyDescent="0.2">
      <c r="A1093" s="2">
        <v>38687</v>
      </c>
      <c r="B1093" s="3">
        <v>513</v>
      </c>
      <c r="C1093" s="2">
        <v>38686</v>
      </c>
      <c r="D1093" s="3">
        <v>1249.48</v>
      </c>
      <c r="G1093">
        <f t="shared" si="35"/>
        <v>10</v>
      </c>
      <c r="H1093">
        <f t="shared" si="36"/>
        <v>10000</v>
      </c>
    </row>
    <row r="1094" spans="1:8" x14ac:dyDescent="0.2">
      <c r="A1094" s="2">
        <v>38718</v>
      </c>
      <c r="B1094" s="3">
        <v>569.79999999999995</v>
      </c>
      <c r="C1094" s="2">
        <v>38716</v>
      </c>
      <c r="D1094" s="3">
        <v>1248.29</v>
      </c>
      <c r="G1094">
        <f t="shared" si="35"/>
        <v>10</v>
      </c>
      <c r="H1094">
        <f t="shared" si="36"/>
        <v>10000</v>
      </c>
    </row>
    <row r="1095" spans="1:8" x14ac:dyDescent="0.2">
      <c r="A1095" s="2">
        <v>38749</v>
      </c>
      <c r="B1095" s="3">
        <v>556.5</v>
      </c>
      <c r="C1095" s="2">
        <v>38748</v>
      </c>
      <c r="D1095" s="3">
        <v>1280.08</v>
      </c>
      <c r="G1095">
        <f t="shared" si="35"/>
        <v>10</v>
      </c>
      <c r="H1095">
        <f t="shared" si="36"/>
        <v>10000</v>
      </c>
    </row>
    <row r="1096" spans="1:8" x14ac:dyDescent="0.2">
      <c r="A1096" s="2">
        <v>38777</v>
      </c>
      <c r="B1096" s="3">
        <v>584</v>
      </c>
      <c r="C1096" s="2">
        <v>38776</v>
      </c>
      <c r="D1096" s="3">
        <v>1280.6600000000001</v>
      </c>
      <c r="G1096">
        <f t="shared" si="35"/>
        <v>10</v>
      </c>
      <c r="H1096">
        <f t="shared" si="36"/>
        <v>10000</v>
      </c>
    </row>
    <row r="1097" spans="1:8" x14ac:dyDescent="0.2">
      <c r="A1097" s="2">
        <v>38808</v>
      </c>
      <c r="B1097" s="3">
        <v>638.25</v>
      </c>
      <c r="C1097" s="2">
        <v>38807</v>
      </c>
      <c r="D1097" s="3">
        <v>1294.8699999999999</v>
      </c>
      <c r="G1097">
        <f t="shared" si="35"/>
        <v>10</v>
      </c>
      <c r="H1097">
        <f t="shared" si="36"/>
        <v>10000</v>
      </c>
    </row>
    <row r="1098" spans="1:8" x14ac:dyDescent="0.2">
      <c r="A1098" s="2">
        <v>38838</v>
      </c>
      <c r="B1098" s="3">
        <v>654</v>
      </c>
      <c r="C1098" s="2">
        <v>38835</v>
      </c>
      <c r="D1098" s="3">
        <v>1310.6099999999999</v>
      </c>
      <c r="G1098">
        <f t="shared" si="35"/>
        <v>10</v>
      </c>
      <c r="H1098">
        <f t="shared" si="36"/>
        <v>10000</v>
      </c>
    </row>
    <row r="1099" spans="1:8" x14ac:dyDescent="0.2">
      <c r="A1099" s="2">
        <v>38869</v>
      </c>
      <c r="B1099" s="3">
        <v>600.4</v>
      </c>
      <c r="C1099" s="2">
        <v>38868</v>
      </c>
      <c r="D1099" s="3">
        <v>1270.0899999999999</v>
      </c>
      <c r="G1099">
        <f t="shared" si="35"/>
        <v>10</v>
      </c>
      <c r="H1099">
        <f t="shared" si="36"/>
        <v>10000</v>
      </c>
    </row>
    <row r="1100" spans="1:8" x14ac:dyDescent="0.2">
      <c r="A1100" s="2">
        <v>38899</v>
      </c>
      <c r="B1100" s="3">
        <v>637</v>
      </c>
      <c r="C1100" s="2">
        <v>38898</v>
      </c>
      <c r="D1100" s="3">
        <v>1270.2</v>
      </c>
      <c r="G1100">
        <f t="shared" si="35"/>
        <v>10</v>
      </c>
      <c r="H1100">
        <f t="shared" si="36"/>
        <v>10000</v>
      </c>
    </row>
    <row r="1101" spans="1:8" x14ac:dyDescent="0.2">
      <c r="A1101" s="2">
        <v>38930</v>
      </c>
      <c r="B1101" s="3">
        <v>621.75</v>
      </c>
      <c r="C1101" s="2">
        <v>38929</v>
      </c>
      <c r="D1101" s="3">
        <v>1276.6600000000001</v>
      </c>
      <c r="G1101">
        <f t="shared" si="35"/>
        <v>10</v>
      </c>
      <c r="H1101">
        <f t="shared" si="36"/>
        <v>10000</v>
      </c>
    </row>
    <row r="1102" spans="1:8" x14ac:dyDescent="0.2">
      <c r="A1102" s="2">
        <v>38961</v>
      </c>
      <c r="B1102" s="3">
        <v>601.75</v>
      </c>
      <c r="C1102" s="2">
        <v>38960</v>
      </c>
      <c r="D1102" s="3">
        <v>1303.82</v>
      </c>
      <c r="G1102">
        <f t="shared" si="35"/>
        <v>10</v>
      </c>
      <c r="H1102">
        <f t="shared" si="36"/>
        <v>10000</v>
      </c>
    </row>
    <row r="1103" spans="1:8" x14ac:dyDescent="0.2">
      <c r="A1103" s="2">
        <v>38991</v>
      </c>
      <c r="B1103" s="3">
        <v>600.9</v>
      </c>
      <c r="C1103" s="2">
        <v>38989</v>
      </c>
      <c r="D1103" s="3">
        <v>1335.85</v>
      </c>
      <c r="G1103">
        <f t="shared" si="35"/>
        <v>10</v>
      </c>
      <c r="H1103">
        <f t="shared" si="36"/>
        <v>10000</v>
      </c>
    </row>
    <row r="1104" spans="1:8" x14ac:dyDescent="0.2">
      <c r="A1104" s="2">
        <v>39022</v>
      </c>
      <c r="B1104" s="3">
        <v>638.4</v>
      </c>
      <c r="C1104" s="2">
        <v>39021</v>
      </c>
      <c r="D1104" s="3">
        <v>1377.94</v>
      </c>
      <c r="G1104">
        <f t="shared" si="35"/>
        <v>10</v>
      </c>
      <c r="H1104">
        <f t="shared" si="36"/>
        <v>10000</v>
      </c>
    </row>
    <row r="1105" spans="1:8" x14ac:dyDescent="0.2">
      <c r="A1105" s="2">
        <v>39052</v>
      </c>
      <c r="B1105" s="3">
        <v>635.70000000000005</v>
      </c>
      <c r="C1105" s="2">
        <v>39051</v>
      </c>
      <c r="D1105" s="3">
        <v>1400.63</v>
      </c>
      <c r="G1105">
        <f t="shared" si="35"/>
        <v>10</v>
      </c>
      <c r="H1105">
        <f t="shared" si="36"/>
        <v>10000</v>
      </c>
    </row>
    <row r="1106" spans="1:8" x14ac:dyDescent="0.2">
      <c r="A1106" s="2">
        <v>39083</v>
      </c>
      <c r="B1106" s="3">
        <v>645.75</v>
      </c>
      <c r="C1106" s="2">
        <v>39080</v>
      </c>
      <c r="D1106" s="3">
        <v>1418.3</v>
      </c>
      <c r="G1106">
        <f t="shared" si="35"/>
        <v>10</v>
      </c>
      <c r="H1106">
        <f t="shared" si="36"/>
        <v>10000</v>
      </c>
    </row>
    <row r="1107" spans="1:8" x14ac:dyDescent="0.2">
      <c r="A1107" s="2">
        <v>39114</v>
      </c>
      <c r="B1107" s="3">
        <v>677</v>
      </c>
      <c r="C1107" s="2">
        <v>39113</v>
      </c>
      <c r="D1107" s="3">
        <v>1438.24</v>
      </c>
      <c r="G1107">
        <f t="shared" si="35"/>
        <v>10</v>
      </c>
      <c r="H1107">
        <f t="shared" si="36"/>
        <v>10000</v>
      </c>
    </row>
    <row r="1108" spans="1:8" x14ac:dyDescent="0.2">
      <c r="A1108" s="2">
        <v>39142</v>
      </c>
      <c r="B1108" s="3">
        <v>663.5</v>
      </c>
      <c r="C1108" s="2">
        <v>39141</v>
      </c>
      <c r="D1108" s="3">
        <v>1406.82</v>
      </c>
      <c r="G1108">
        <f t="shared" si="35"/>
        <v>10</v>
      </c>
      <c r="H1108">
        <f t="shared" si="36"/>
        <v>10000</v>
      </c>
    </row>
    <row r="1109" spans="1:8" x14ac:dyDescent="0.2">
      <c r="A1109" s="2">
        <v>39173</v>
      </c>
      <c r="B1109" s="3">
        <v>678</v>
      </c>
      <c r="C1109" s="2">
        <v>39171</v>
      </c>
      <c r="D1109" s="3">
        <v>1420.86</v>
      </c>
      <c r="G1109">
        <f t="shared" si="35"/>
        <v>10</v>
      </c>
      <c r="H1109">
        <f t="shared" si="36"/>
        <v>10000</v>
      </c>
    </row>
    <row r="1110" spans="1:8" x14ac:dyDescent="0.2">
      <c r="A1110" s="2">
        <v>39203</v>
      </c>
      <c r="B1110" s="3">
        <v>656.6</v>
      </c>
      <c r="C1110" s="2">
        <v>39202</v>
      </c>
      <c r="D1110" s="3">
        <v>1482.37</v>
      </c>
      <c r="G1110">
        <f t="shared" si="35"/>
        <v>10</v>
      </c>
      <c r="H1110">
        <f t="shared" si="36"/>
        <v>10000</v>
      </c>
    </row>
    <row r="1111" spans="1:8" x14ac:dyDescent="0.2">
      <c r="A1111" s="2">
        <v>39234</v>
      </c>
      <c r="B1111" s="3">
        <v>648.5</v>
      </c>
      <c r="C1111" s="2">
        <v>39233</v>
      </c>
      <c r="D1111" s="3">
        <v>1530.62</v>
      </c>
      <c r="G1111">
        <f t="shared" si="35"/>
        <v>10</v>
      </c>
      <c r="H1111">
        <f t="shared" si="36"/>
        <v>10000</v>
      </c>
    </row>
    <row r="1112" spans="1:8" x14ac:dyDescent="0.2">
      <c r="A1112" s="2">
        <v>39264</v>
      </c>
      <c r="B1112" s="3">
        <v>666.75</v>
      </c>
      <c r="C1112" s="2">
        <v>39262</v>
      </c>
      <c r="D1112" s="3">
        <v>1503.35</v>
      </c>
      <c r="G1112">
        <f t="shared" si="35"/>
        <v>10</v>
      </c>
      <c r="H1112">
        <f t="shared" si="36"/>
        <v>10000</v>
      </c>
    </row>
    <row r="1113" spans="1:8" x14ac:dyDescent="0.2">
      <c r="A1113" s="2">
        <v>39295</v>
      </c>
      <c r="B1113" s="3">
        <v>668</v>
      </c>
      <c r="C1113" s="2">
        <v>39294</v>
      </c>
      <c r="D1113" s="3">
        <v>1455.27</v>
      </c>
      <c r="G1113">
        <f t="shared" si="35"/>
        <v>10</v>
      </c>
      <c r="H1113">
        <f t="shared" si="36"/>
        <v>10000</v>
      </c>
    </row>
    <row r="1114" spans="1:8" x14ac:dyDescent="0.2">
      <c r="A1114" s="2">
        <v>39326</v>
      </c>
      <c r="B1114" s="3">
        <v>737.75</v>
      </c>
      <c r="C1114" s="2">
        <v>39325</v>
      </c>
      <c r="D1114" s="3">
        <v>1473.99</v>
      </c>
      <c r="G1114">
        <f t="shared" si="35"/>
        <v>10</v>
      </c>
      <c r="H1114">
        <f t="shared" si="36"/>
        <v>10000</v>
      </c>
    </row>
    <row r="1115" spans="1:8" x14ac:dyDescent="0.2">
      <c r="A1115" s="2">
        <v>39356</v>
      </c>
      <c r="B1115" s="3">
        <v>783</v>
      </c>
      <c r="C1115" s="2">
        <v>39353</v>
      </c>
      <c r="D1115" s="3">
        <v>1526.75</v>
      </c>
      <c r="G1115">
        <f t="shared" si="35"/>
        <v>10</v>
      </c>
      <c r="H1115">
        <f t="shared" si="36"/>
        <v>10000</v>
      </c>
    </row>
    <row r="1116" spans="1:8" x14ac:dyDescent="0.2">
      <c r="A1116" s="2">
        <v>39387</v>
      </c>
      <c r="B1116" s="3">
        <v>794.75</v>
      </c>
      <c r="C1116" s="2">
        <v>39386</v>
      </c>
      <c r="D1116" s="3">
        <v>1549.38</v>
      </c>
      <c r="G1116">
        <f t="shared" si="35"/>
        <v>10</v>
      </c>
      <c r="H1116">
        <f t="shared" si="36"/>
        <v>10000</v>
      </c>
    </row>
    <row r="1117" spans="1:8" x14ac:dyDescent="0.2">
      <c r="A1117" s="2">
        <v>39417</v>
      </c>
      <c r="B1117" s="3">
        <v>836.5</v>
      </c>
      <c r="C1117" s="2">
        <v>39416</v>
      </c>
      <c r="D1117" s="3">
        <v>1481.14</v>
      </c>
      <c r="G1117">
        <f t="shared" si="35"/>
        <v>10</v>
      </c>
      <c r="H1117">
        <f t="shared" si="36"/>
        <v>10000</v>
      </c>
    </row>
    <row r="1118" spans="1:8" x14ac:dyDescent="0.2">
      <c r="A1118" s="2">
        <v>39448</v>
      </c>
      <c r="B1118" s="3">
        <v>923.75</v>
      </c>
      <c r="C1118" s="2">
        <v>39447</v>
      </c>
      <c r="D1118" s="3">
        <v>1468.36</v>
      </c>
      <c r="G1118">
        <f t="shared" si="35"/>
        <v>10</v>
      </c>
      <c r="H1118">
        <f t="shared" si="36"/>
        <v>10</v>
      </c>
    </row>
    <row r="1119" spans="1:8" x14ac:dyDescent="0.2">
      <c r="A1119" s="2">
        <v>39479</v>
      </c>
      <c r="B1119" s="3">
        <v>969</v>
      </c>
      <c r="C1119" s="2">
        <v>39478</v>
      </c>
      <c r="D1119" s="3">
        <v>1378.55</v>
      </c>
      <c r="G1119">
        <f t="shared" si="35"/>
        <v>10</v>
      </c>
      <c r="H1119">
        <f t="shared" si="36"/>
        <v>10</v>
      </c>
    </row>
    <row r="1120" spans="1:8" x14ac:dyDescent="0.2">
      <c r="A1120" s="2">
        <v>39508</v>
      </c>
      <c r="B1120" s="3">
        <v>937.25</v>
      </c>
      <c r="C1120" s="2">
        <v>39507</v>
      </c>
      <c r="D1120" s="3">
        <v>1330.63</v>
      </c>
      <c r="G1120">
        <f t="shared" si="35"/>
        <v>10</v>
      </c>
      <c r="H1120">
        <f t="shared" si="36"/>
        <v>10</v>
      </c>
    </row>
    <row r="1121" spans="1:8" x14ac:dyDescent="0.2">
      <c r="A1121" s="2">
        <v>39539</v>
      </c>
      <c r="B1121" s="3">
        <v>867.75</v>
      </c>
      <c r="C1121" s="2">
        <v>39538</v>
      </c>
      <c r="D1121" s="3">
        <v>1322.7</v>
      </c>
      <c r="G1121">
        <f t="shared" si="35"/>
        <v>10</v>
      </c>
      <c r="H1121">
        <f t="shared" si="36"/>
        <v>10</v>
      </c>
    </row>
    <row r="1122" spans="1:8" x14ac:dyDescent="0.2">
      <c r="A1122" s="2">
        <v>39569</v>
      </c>
      <c r="B1122" s="3">
        <v>879.5</v>
      </c>
      <c r="C1122" s="2">
        <v>39568</v>
      </c>
      <c r="D1122" s="3">
        <v>1385.59</v>
      </c>
      <c r="G1122">
        <f t="shared" si="35"/>
        <v>10</v>
      </c>
      <c r="H1122">
        <f t="shared" si="36"/>
        <v>10</v>
      </c>
    </row>
    <row r="1123" spans="1:8" x14ac:dyDescent="0.2">
      <c r="A1123" s="2">
        <v>39600</v>
      </c>
      <c r="B1123" s="3">
        <v>932.75</v>
      </c>
      <c r="C1123" s="2">
        <v>39598</v>
      </c>
      <c r="D1123" s="3">
        <v>1400.38</v>
      </c>
      <c r="G1123">
        <f t="shared" si="35"/>
        <v>10</v>
      </c>
      <c r="H1123">
        <f t="shared" si="36"/>
        <v>10</v>
      </c>
    </row>
    <row r="1124" spans="1:8" x14ac:dyDescent="0.2">
      <c r="A1124" s="2">
        <v>39630</v>
      </c>
      <c r="B1124" s="3">
        <v>912</v>
      </c>
      <c r="C1124" s="2">
        <v>39629</v>
      </c>
      <c r="D1124" s="3">
        <v>1280</v>
      </c>
      <c r="G1124">
        <f t="shared" si="35"/>
        <v>10</v>
      </c>
      <c r="H1124">
        <f t="shared" si="36"/>
        <v>10</v>
      </c>
    </row>
    <row r="1125" spans="1:8" x14ac:dyDescent="0.2">
      <c r="A1125" s="2">
        <v>39661</v>
      </c>
      <c r="B1125" s="3">
        <v>836.5</v>
      </c>
      <c r="C1125" s="2">
        <v>39660</v>
      </c>
      <c r="D1125" s="3">
        <v>1267.3800000000001</v>
      </c>
      <c r="G1125">
        <f t="shared" si="35"/>
        <v>10</v>
      </c>
      <c r="H1125">
        <f t="shared" si="36"/>
        <v>10</v>
      </c>
    </row>
    <row r="1126" spans="1:8" x14ac:dyDescent="0.2">
      <c r="A1126" s="2">
        <v>39692</v>
      </c>
      <c r="B1126" s="3">
        <v>897</v>
      </c>
      <c r="C1126" s="2">
        <v>39689</v>
      </c>
      <c r="D1126" s="3">
        <v>1282.83</v>
      </c>
      <c r="G1126">
        <f t="shared" si="35"/>
        <v>10</v>
      </c>
      <c r="H1126">
        <f t="shared" si="36"/>
        <v>10</v>
      </c>
    </row>
    <row r="1127" spans="1:8" x14ac:dyDescent="0.2">
      <c r="A1127" s="2">
        <v>39722</v>
      </c>
      <c r="B1127" s="3">
        <v>728.5</v>
      </c>
      <c r="C1127" s="2">
        <v>39721</v>
      </c>
      <c r="D1127" s="3">
        <v>1166.3599999999999</v>
      </c>
      <c r="G1127">
        <f t="shared" si="35"/>
        <v>10</v>
      </c>
      <c r="H1127">
        <f t="shared" si="36"/>
        <v>10</v>
      </c>
    </row>
    <row r="1128" spans="1:8" x14ac:dyDescent="0.2">
      <c r="A1128" s="2">
        <v>39753</v>
      </c>
      <c r="B1128" s="3">
        <v>813.5</v>
      </c>
      <c r="C1128" s="2">
        <v>39752</v>
      </c>
      <c r="D1128" s="3">
        <v>968.75</v>
      </c>
      <c r="G1128">
        <f t="shared" si="35"/>
        <v>10</v>
      </c>
      <c r="H1128">
        <f t="shared" si="36"/>
        <v>10</v>
      </c>
    </row>
    <row r="1129" spans="1:8" x14ac:dyDescent="0.2">
      <c r="A1129" s="2">
        <v>39783</v>
      </c>
      <c r="B1129" s="3">
        <v>865</v>
      </c>
      <c r="C1129" s="2">
        <v>39780</v>
      </c>
      <c r="D1129" s="3">
        <v>896.24</v>
      </c>
      <c r="G1129">
        <f t="shared" si="35"/>
        <v>10</v>
      </c>
      <c r="H1129">
        <f t="shared" si="36"/>
        <v>10</v>
      </c>
    </row>
    <row r="1130" spans="1:8" x14ac:dyDescent="0.2">
      <c r="A1130" s="2">
        <v>39814</v>
      </c>
      <c r="B1130" s="3">
        <v>918.5</v>
      </c>
      <c r="C1130" s="2">
        <v>39813</v>
      </c>
      <c r="D1130" s="3">
        <v>903.25</v>
      </c>
      <c r="G1130">
        <f t="shared" si="35"/>
        <v>10</v>
      </c>
      <c r="H1130">
        <f t="shared" si="36"/>
        <v>10</v>
      </c>
    </row>
    <row r="1131" spans="1:8" x14ac:dyDescent="0.2">
      <c r="A1131" s="2">
        <v>39845</v>
      </c>
      <c r="B1131" s="3">
        <v>943.75</v>
      </c>
      <c r="C1131" s="2">
        <v>39843</v>
      </c>
      <c r="D1131" s="3">
        <v>825.88</v>
      </c>
      <c r="G1131">
        <f t="shared" si="35"/>
        <v>10</v>
      </c>
      <c r="H1131">
        <f t="shared" si="36"/>
        <v>10</v>
      </c>
    </row>
    <row r="1132" spans="1:8" x14ac:dyDescent="0.2">
      <c r="A1132" s="2">
        <v>39873</v>
      </c>
      <c r="B1132" s="3">
        <v>918.5</v>
      </c>
      <c r="C1132" s="2">
        <v>39871</v>
      </c>
      <c r="D1132" s="3">
        <v>735.09</v>
      </c>
      <c r="G1132">
        <f t="shared" si="35"/>
        <v>10</v>
      </c>
      <c r="H1132">
        <f t="shared" si="36"/>
        <v>10</v>
      </c>
    </row>
    <row r="1133" spans="1:8" x14ac:dyDescent="0.2">
      <c r="A1133" s="2">
        <v>39904</v>
      </c>
      <c r="B1133" s="3">
        <v>889</v>
      </c>
      <c r="C1133" s="2">
        <v>39903</v>
      </c>
      <c r="D1133" s="3">
        <v>797.87</v>
      </c>
      <c r="G1133">
        <f t="shared" si="35"/>
        <v>10</v>
      </c>
      <c r="H1133">
        <f t="shared" si="36"/>
        <v>10</v>
      </c>
    </row>
    <row r="1134" spans="1:8" x14ac:dyDescent="0.2">
      <c r="A1134" s="2">
        <v>39934</v>
      </c>
      <c r="B1134" s="3">
        <v>972</v>
      </c>
      <c r="C1134" s="2">
        <v>39933</v>
      </c>
      <c r="D1134" s="3">
        <v>872.81</v>
      </c>
      <c r="G1134">
        <f t="shared" si="35"/>
        <v>10</v>
      </c>
      <c r="H1134">
        <f t="shared" si="36"/>
        <v>10</v>
      </c>
    </row>
    <row r="1135" spans="1:8" x14ac:dyDescent="0.2">
      <c r="A1135" s="2">
        <v>39965</v>
      </c>
      <c r="B1135" s="3">
        <v>941</v>
      </c>
      <c r="C1135" s="2">
        <v>39962</v>
      </c>
      <c r="D1135" s="3">
        <v>919.14</v>
      </c>
      <c r="G1135">
        <f t="shared" si="35"/>
        <v>10</v>
      </c>
      <c r="H1135">
        <f t="shared" si="36"/>
        <v>10</v>
      </c>
    </row>
    <row r="1136" spans="1:8" x14ac:dyDescent="0.2">
      <c r="A1136" s="2">
        <v>39995</v>
      </c>
      <c r="B1136" s="3">
        <v>936.5</v>
      </c>
      <c r="C1136" s="2">
        <v>39994</v>
      </c>
      <c r="D1136" s="3">
        <v>919.32</v>
      </c>
      <c r="G1136">
        <f t="shared" si="35"/>
        <v>10</v>
      </c>
      <c r="H1136">
        <f t="shared" si="36"/>
        <v>10</v>
      </c>
    </row>
    <row r="1137" spans="1:8" x14ac:dyDescent="0.2">
      <c r="A1137" s="2">
        <v>40026</v>
      </c>
      <c r="B1137" s="3">
        <v>950.75</v>
      </c>
      <c r="C1137" s="2">
        <v>40025</v>
      </c>
      <c r="D1137" s="3">
        <v>987.48</v>
      </c>
      <c r="G1137">
        <f t="shared" si="35"/>
        <v>10</v>
      </c>
      <c r="H1137">
        <f t="shared" si="36"/>
        <v>10</v>
      </c>
    </row>
    <row r="1138" spans="1:8" x14ac:dyDescent="0.2">
      <c r="A1138" s="2">
        <v>40057</v>
      </c>
      <c r="B1138" s="3">
        <v>1001.25</v>
      </c>
      <c r="C1138" s="2">
        <v>40056</v>
      </c>
      <c r="D1138" s="3">
        <v>1020.62</v>
      </c>
      <c r="G1138">
        <f t="shared" si="35"/>
        <v>10</v>
      </c>
      <c r="H1138">
        <f t="shared" si="36"/>
        <v>10</v>
      </c>
    </row>
    <row r="1139" spans="1:8" x14ac:dyDescent="0.2">
      <c r="A1139" s="2">
        <v>40087</v>
      </c>
      <c r="B1139" s="3">
        <v>1044.5</v>
      </c>
      <c r="C1139" s="2">
        <v>40086</v>
      </c>
      <c r="D1139" s="3">
        <v>1057.08</v>
      </c>
      <c r="G1139">
        <f t="shared" si="35"/>
        <v>10</v>
      </c>
      <c r="H1139">
        <f t="shared" si="36"/>
        <v>10</v>
      </c>
    </row>
    <row r="1140" spans="1:8" x14ac:dyDescent="0.2">
      <c r="A1140" s="2">
        <v>40118</v>
      </c>
      <c r="B1140" s="3">
        <v>1172</v>
      </c>
      <c r="C1140" s="2">
        <v>40116</v>
      </c>
      <c r="D1140" s="3">
        <v>1036.19</v>
      </c>
      <c r="G1140">
        <f t="shared" si="35"/>
        <v>10</v>
      </c>
      <c r="H1140">
        <f t="shared" si="36"/>
        <v>10</v>
      </c>
    </row>
    <row r="1141" spans="1:8" x14ac:dyDescent="0.2">
      <c r="A1141" s="2">
        <v>40148</v>
      </c>
      <c r="B1141" s="3">
        <v>1104</v>
      </c>
      <c r="C1141" s="2">
        <v>40147</v>
      </c>
      <c r="D1141" s="3">
        <v>1095.6300000000001</v>
      </c>
      <c r="G1141">
        <f t="shared" si="35"/>
        <v>10</v>
      </c>
      <c r="H1141">
        <f t="shared" si="36"/>
        <v>10</v>
      </c>
    </row>
    <row r="1142" spans="1:8" x14ac:dyDescent="0.2">
      <c r="A1142" s="2">
        <v>40179</v>
      </c>
      <c r="B1142" s="3">
        <v>1082.75</v>
      </c>
      <c r="C1142" s="2">
        <v>40178</v>
      </c>
      <c r="D1142" s="3">
        <v>1115.0999999999999</v>
      </c>
      <c r="G1142">
        <f t="shared" si="35"/>
        <v>10</v>
      </c>
      <c r="H1142">
        <f t="shared" si="36"/>
        <v>10</v>
      </c>
    </row>
    <row r="1143" spans="1:8" x14ac:dyDescent="0.2">
      <c r="A1143" s="2">
        <v>40210</v>
      </c>
      <c r="B1143" s="3">
        <v>1112.5</v>
      </c>
      <c r="C1143" s="2">
        <v>40207</v>
      </c>
      <c r="D1143" s="3">
        <v>1073.8699999999999</v>
      </c>
      <c r="G1143">
        <f t="shared" si="35"/>
        <v>10</v>
      </c>
      <c r="H1143">
        <f t="shared" si="36"/>
        <v>10</v>
      </c>
    </row>
    <row r="1144" spans="1:8" x14ac:dyDescent="0.2">
      <c r="A1144" s="2">
        <v>40238</v>
      </c>
      <c r="B1144" s="3">
        <v>1109.5</v>
      </c>
      <c r="C1144" s="2">
        <v>40235</v>
      </c>
      <c r="D1144" s="3">
        <v>1104.49</v>
      </c>
      <c r="G1144">
        <f t="shared" si="35"/>
        <v>10</v>
      </c>
      <c r="H1144">
        <f t="shared" si="36"/>
        <v>10</v>
      </c>
    </row>
    <row r="1145" spans="1:8" x14ac:dyDescent="0.2">
      <c r="A1145" s="2">
        <v>40269</v>
      </c>
      <c r="B1145" s="3">
        <v>1175.25</v>
      </c>
      <c r="C1145" s="2">
        <v>40268</v>
      </c>
      <c r="D1145" s="3">
        <v>1169.43</v>
      </c>
      <c r="G1145">
        <f t="shared" si="35"/>
        <v>10</v>
      </c>
      <c r="H1145">
        <f t="shared" si="36"/>
        <v>10</v>
      </c>
    </row>
    <row r="1146" spans="1:8" x14ac:dyDescent="0.2">
      <c r="A1146" s="2">
        <v>40299</v>
      </c>
      <c r="B1146" s="3">
        <v>1214</v>
      </c>
      <c r="C1146" s="2">
        <v>40298</v>
      </c>
      <c r="D1146" s="3">
        <v>1186.69</v>
      </c>
      <c r="G1146">
        <f t="shared" si="35"/>
        <v>10</v>
      </c>
      <c r="H1146">
        <f t="shared" si="36"/>
        <v>10</v>
      </c>
    </row>
    <row r="1147" spans="1:8" x14ac:dyDescent="0.2">
      <c r="A1147" s="2">
        <v>40330</v>
      </c>
      <c r="B1147" s="3">
        <v>1240.5</v>
      </c>
      <c r="C1147" s="2">
        <v>40326</v>
      </c>
      <c r="D1147" s="3">
        <v>1089.4100000000001</v>
      </c>
      <c r="G1147">
        <f t="shared" si="35"/>
        <v>10</v>
      </c>
      <c r="H1147">
        <f t="shared" si="36"/>
        <v>10</v>
      </c>
    </row>
    <row r="1148" spans="1:8" x14ac:dyDescent="0.2">
      <c r="A1148" s="2">
        <v>40360</v>
      </c>
      <c r="B1148" s="3">
        <v>1168</v>
      </c>
      <c r="C1148" s="2">
        <v>40359</v>
      </c>
      <c r="D1148" s="3">
        <v>1030.71</v>
      </c>
      <c r="G1148">
        <f t="shared" si="35"/>
        <v>10</v>
      </c>
      <c r="H1148">
        <f t="shared" si="36"/>
        <v>10</v>
      </c>
    </row>
    <row r="1149" spans="1:8" x14ac:dyDescent="0.2">
      <c r="A1149" s="2">
        <v>40391</v>
      </c>
      <c r="B1149" s="3">
        <v>1233.5</v>
      </c>
      <c r="C1149" s="2">
        <v>40389</v>
      </c>
      <c r="D1149" s="3">
        <v>1101.5999999999999</v>
      </c>
      <c r="G1149">
        <f t="shared" si="35"/>
        <v>10</v>
      </c>
      <c r="H1149">
        <f t="shared" si="36"/>
        <v>10</v>
      </c>
    </row>
    <row r="1150" spans="1:8" x14ac:dyDescent="0.2">
      <c r="A1150" s="2">
        <v>40422</v>
      </c>
      <c r="B1150" s="3">
        <v>1311</v>
      </c>
      <c r="C1150" s="2">
        <v>40421</v>
      </c>
      <c r="D1150" s="3">
        <v>1049.33</v>
      </c>
      <c r="G1150">
        <f t="shared" si="35"/>
        <v>10</v>
      </c>
      <c r="H1150">
        <f t="shared" si="36"/>
        <v>10</v>
      </c>
    </row>
    <row r="1151" spans="1:8" x14ac:dyDescent="0.2">
      <c r="A1151" s="2">
        <v>40452</v>
      </c>
      <c r="B1151" s="3">
        <v>1336.75</v>
      </c>
      <c r="C1151" s="2">
        <v>40451</v>
      </c>
      <c r="D1151" s="3">
        <v>1141.2</v>
      </c>
      <c r="G1151">
        <f t="shared" si="35"/>
        <v>10</v>
      </c>
      <c r="H1151">
        <f t="shared" si="36"/>
        <v>10</v>
      </c>
    </row>
    <row r="1152" spans="1:8" x14ac:dyDescent="0.2">
      <c r="A1152" s="2">
        <v>40483</v>
      </c>
      <c r="B1152" s="3">
        <v>1375</v>
      </c>
      <c r="C1152" s="2">
        <v>40480</v>
      </c>
      <c r="D1152" s="3">
        <v>1183.26</v>
      </c>
      <c r="G1152">
        <f t="shared" si="35"/>
        <v>10</v>
      </c>
      <c r="H1152">
        <f t="shared" si="36"/>
        <v>10</v>
      </c>
    </row>
    <row r="1153" spans="1:8" x14ac:dyDescent="0.2">
      <c r="A1153" s="2">
        <v>40513</v>
      </c>
      <c r="B1153" s="3">
        <v>1410.25</v>
      </c>
      <c r="C1153" s="2">
        <v>40512</v>
      </c>
      <c r="D1153" s="3">
        <v>1180.55</v>
      </c>
      <c r="G1153">
        <f t="shared" si="35"/>
        <v>10</v>
      </c>
      <c r="H1153">
        <f t="shared" si="36"/>
        <v>10</v>
      </c>
    </row>
    <row r="1154" spans="1:8" x14ac:dyDescent="0.2">
      <c r="A1154" s="2">
        <v>40544</v>
      </c>
      <c r="B1154" s="3">
        <v>1333.5</v>
      </c>
      <c r="C1154" s="2">
        <v>40543</v>
      </c>
      <c r="D1154" s="3">
        <v>1257.6400000000001</v>
      </c>
      <c r="G1154">
        <f t="shared" si="35"/>
        <v>10</v>
      </c>
      <c r="H1154">
        <f t="shared" si="36"/>
        <v>10</v>
      </c>
    </row>
    <row r="1155" spans="1:8" x14ac:dyDescent="0.2">
      <c r="A1155" s="2">
        <v>40575</v>
      </c>
      <c r="B1155" s="3">
        <v>1409.75</v>
      </c>
      <c r="C1155" s="2">
        <v>40574</v>
      </c>
      <c r="D1155" s="3">
        <v>1286.1199999999999</v>
      </c>
      <c r="G1155">
        <f t="shared" ref="G1155:G1218" si="37">IF(AND(A1155&gt;=DATE(1973,1,1), A1155&lt;=DATE(1982,12,31)), 10000, 10)</f>
        <v>10</v>
      </c>
      <c r="H1155">
        <f t="shared" ref="H1155:H1218" si="38">IF(AND(A1155&gt;=DATE(1983,1,1), A1155&lt;=DATE(2007,12,31)), 10000, 10)</f>
        <v>10</v>
      </c>
    </row>
    <row r="1156" spans="1:8" x14ac:dyDescent="0.2">
      <c r="A1156" s="2">
        <v>40603</v>
      </c>
      <c r="B1156" s="3">
        <v>1431</v>
      </c>
      <c r="C1156" s="2">
        <v>40602</v>
      </c>
      <c r="D1156" s="3">
        <v>1327.22</v>
      </c>
      <c r="G1156">
        <f t="shared" si="37"/>
        <v>10</v>
      </c>
      <c r="H1156">
        <f t="shared" si="38"/>
        <v>10</v>
      </c>
    </row>
    <row r="1157" spans="1:8" x14ac:dyDescent="0.2">
      <c r="A1157" s="2">
        <v>40634</v>
      </c>
      <c r="B1157" s="3">
        <v>1531</v>
      </c>
      <c r="C1157" s="2">
        <v>40633</v>
      </c>
      <c r="D1157" s="3">
        <v>1325.83</v>
      </c>
      <c r="G1157">
        <f t="shared" si="37"/>
        <v>10</v>
      </c>
      <c r="H1157">
        <f t="shared" si="38"/>
        <v>10</v>
      </c>
    </row>
    <row r="1158" spans="1:8" x14ac:dyDescent="0.2">
      <c r="A1158" s="2">
        <v>40664</v>
      </c>
      <c r="B1158" s="3">
        <v>1537</v>
      </c>
      <c r="C1158" s="2">
        <v>40662</v>
      </c>
      <c r="D1158" s="3">
        <v>1363.61</v>
      </c>
      <c r="G1158">
        <f t="shared" si="37"/>
        <v>10</v>
      </c>
      <c r="H1158">
        <f t="shared" si="38"/>
        <v>10</v>
      </c>
    </row>
    <row r="1159" spans="1:8" x14ac:dyDescent="0.2">
      <c r="A1159" s="2">
        <v>40695</v>
      </c>
      <c r="B1159" s="3">
        <v>1508</v>
      </c>
      <c r="C1159" s="2">
        <v>40694</v>
      </c>
      <c r="D1159" s="3">
        <v>1345.2</v>
      </c>
      <c r="G1159">
        <f t="shared" si="37"/>
        <v>10</v>
      </c>
      <c r="H1159">
        <f t="shared" si="38"/>
        <v>10</v>
      </c>
    </row>
    <row r="1160" spans="1:8" x14ac:dyDescent="0.2">
      <c r="A1160" s="2">
        <v>40725</v>
      </c>
      <c r="B1160" s="3">
        <v>1613.75</v>
      </c>
      <c r="C1160" s="2">
        <v>40724</v>
      </c>
      <c r="D1160" s="3">
        <v>1320.64</v>
      </c>
      <c r="G1160">
        <f t="shared" si="37"/>
        <v>10</v>
      </c>
      <c r="H1160">
        <f t="shared" si="38"/>
        <v>10</v>
      </c>
    </row>
    <row r="1161" spans="1:8" x14ac:dyDescent="0.2">
      <c r="A1161" s="2">
        <v>40756</v>
      </c>
      <c r="B1161" s="3">
        <v>1826</v>
      </c>
      <c r="C1161" s="2">
        <v>40753</v>
      </c>
      <c r="D1161" s="3">
        <v>1292.28</v>
      </c>
      <c r="G1161">
        <f t="shared" si="37"/>
        <v>10</v>
      </c>
      <c r="H1161">
        <f t="shared" si="38"/>
        <v>10</v>
      </c>
    </row>
    <row r="1162" spans="1:8" x14ac:dyDescent="0.2">
      <c r="A1162" s="2">
        <v>40787</v>
      </c>
      <c r="B1162" s="3">
        <v>1629</v>
      </c>
      <c r="C1162" s="2">
        <v>40786</v>
      </c>
      <c r="D1162" s="3">
        <v>1218.8900000000001</v>
      </c>
      <c r="G1162">
        <f t="shared" si="37"/>
        <v>10</v>
      </c>
      <c r="H1162">
        <f t="shared" si="38"/>
        <v>10</v>
      </c>
    </row>
    <row r="1163" spans="1:8" x14ac:dyDescent="0.2">
      <c r="A1163" s="2">
        <v>40817</v>
      </c>
      <c r="B1163" s="3">
        <v>1718</v>
      </c>
      <c r="C1163" s="2">
        <v>40816</v>
      </c>
      <c r="D1163" s="3">
        <v>1131.42</v>
      </c>
      <c r="G1163">
        <f t="shared" si="37"/>
        <v>10</v>
      </c>
      <c r="H1163">
        <f t="shared" si="38"/>
        <v>10</v>
      </c>
    </row>
    <row r="1164" spans="1:8" x14ac:dyDescent="0.2">
      <c r="A1164" s="2">
        <v>40848</v>
      </c>
      <c r="B1164" s="3">
        <v>1704</v>
      </c>
      <c r="C1164" s="2">
        <v>40847</v>
      </c>
      <c r="D1164" s="3">
        <v>1253.3</v>
      </c>
      <c r="G1164">
        <f t="shared" si="37"/>
        <v>10</v>
      </c>
      <c r="H1164">
        <f t="shared" si="38"/>
        <v>10</v>
      </c>
    </row>
    <row r="1165" spans="1:8" x14ac:dyDescent="0.2">
      <c r="A1165" s="2">
        <v>40878</v>
      </c>
      <c r="B1165" s="3">
        <v>1574.5</v>
      </c>
      <c r="C1165" s="2">
        <v>40877</v>
      </c>
      <c r="D1165" s="3">
        <v>1246.96</v>
      </c>
      <c r="G1165">
        <f t="shared" si="37"/>
        <v>10</v>
      </c>
      <c r="H1165">
        <f t="shared" si="38"/>
        <v>10</v>
      </c>
    </row>
    <row r="1166" spans="1:8" x14ac:dyDescent="0.2">
      <c r="A1166" s="2">
        <v>40909</v>
      </c>
      <c r="B1166" s="3">
        <v>1738</v>
      </c>
      <c r="C1166" s="2">
        <v>40907</v>
      </c>
      <c r="D1166" s="3">
        <v>1257.5999999999999</v>
      </c>
      <c r="G1166">
        <f t="shared" si="37"/>
        <v>10</v>
      </c>
      <c r="H1166">
        <f t="shared" si="38"/>
        <v>10</v>
      </c>
    </row>
    <row r="1167" spans="1:8" x14ac:dyDescent="0.2">
      <c r="A1167" s="2">
        <v>40940</v>
      </c>
      <c r="B1167" s="3">
        <v>1788</v>
      </c>
      <c r="C1167" s="2">
        <v>40939</v>
      </c>
      <c r="D1167" s="3">
        <v>1312.41</v>
      </c>
      <c r="G1167">
        <f t="shared" si="37"/>
        <v>10</v>
      </c>
      <c r="H1167">
        <f t="shared" si="38"/>
        <v>10</v>
      </c>
    </row>
    <row r="1168" spans="1:8" x14ac:dyDescent="0.2">
      <c r="A1168" s="2">
        <v>40969</v>
      </c>
      <c r="B1168" s="3">
        <v>1660.75</v>
      </c>
      <c r="C1168" s="2">
        <v>40968</v>
      </c>
      <c r="D1168" s="3">
        <v>1365.68</v>
      </c>
      <c r="G1168">
        <f t="shared" si="37"/>
        <v>10</v>
      </c>
      <c r="H1168">
        <f t="shared" si="38"/>
        <v>10</v>
      </c>
    </row>
    <row r="1169" spans="1:8" x14ac:dyDescent="0.2">
      <c r="A1169" s="2">
        <v>41000</v>
      </c>
      <c r="B1169" s="3">
        <v>1662.5</v>
      </c>
      <c r="C1169" s="2">
        <v>40998</v>
      </c>
      <c r="D1169" s="3">
        <v>1408.47</v>
      </c>
      <c r="G1169">
        <f t="shared" si="37"/>
        <v>10</v>
      </c>
      <c r="H1169">
        <f t="shared" si="38"/>
        <v>10</v>
      </c>
    </row>
    <row r="1170" spans="1:8" x14ac:dyDescent="0.2">
      <c r="A1170" s="2">
        <v>41030</v>
      </c>
      <c r="B1170" s="3">
        <v>1567.5</v>
      </c>
      <c r="C1170" s="2">
        <v>41029</v>
      </c>
      <c r="D1170" s="3">
        <v>1397.91</v>
      </c>
      <c r="G1170">
        <f t="shared" si="37"/>
        <v>10</v>
      </c>
      <c r="H1170">
        <f t="shared" si="38"/>
        <v>10</v>
      </c>
    </row>
    <row r="1171" spans="1:8" x14ac:dyDescent="0.2">
      <c r="A1171" s="2">
        <v>41061</v>
      </c>
      <c r="B1171" s="3">
        <v>1569.5</v>
      </c>
      <c r="C1171" s="2">
        <v>41060</v>
      </c>
      <c r="D1171" s="3">
        <v>1310.33</v>
      </c>
      <c r="G1171">
        <f t="shared" si="37"/>
        <v>10</v>
      </c>
      <c r="H1171">
        <f t="shared" si="38"/>
        <v>10</v>
      </c>
    </row>
    <row r="1172" spans="1:8" x14ac:dyDescent="0.2">
      <c r="A1172" s="2">
        <v>41091</v>
      </c>
      <c r="B1172" s="3">
        <v>1622.75</v>
      </c>
      <c r="C1172" s="2">
        <v>41089</v>
      </c>
      <c r="D1172" s="3">
        <v>1362.16</v>
      </c>
      <c r="G1172">
        <f t="shared" si="37"/>
        <v>10</v>
      </c>
      <c r="H1172">
        <f t="shared" si="38"/>
        <v>10</v>
      </c>
    </row>
    <row r="1173" spans="1:8" x14ac:dyDescent="0.2">
      <c r="A1173" s="2">
        <v>41122</v>
      </c>
      <c r="B1173" s="3">
        <v>1657.75</v>
      </c>
      <c r="C1173" s="2">
        <v>41121</v>
      </c>
      <c r="D1173" s="3">
        <v>1379.32</v>
      </c>
      <c r="G1173">
        <f t="shared" si="37"/>
        <v>10</v>
      </c>
      <c r="H1173">
        <f t="shared" si="38"/>
        <v>10</v>
      </c>
    </row>
    <row r="1174" spans="1:8" x14ac:dyDescent="0.2">
      <c r="A1174" s="2">
        <v>41153</v>
      </c>
      <c r="B1174" s="3">
        <v>1781</v>
      </c>
      <c r="C1174" s="2">
        <v>41152</v>
      </c>
      <c r="D1174" s="3">
        <v>1406.58</v>
      </c>
      <c r="G1174">
        <f t="shared" si="37"/>
        <v>10</v>
      </c>
      <c r="H1174">
        <f t="shared" si="38"/>
        <v>10</v>
      </c>
    </row>
    <row r="1175" spans="1:8" x14ac:dyDescent="0.2">
      <c r="A1175" s="2">
        <v>41183</v>
      </c>
      <c r="B1175" s="3">
        <v>1718</v>
      </c>
      <c r="C1175" s="2">
        <v>41180</v>
      </c>
      <c r="D1175" s="3">
        <v>1440.67</v>
      </c>
      <c r="G1175">
        <f t="shared" si="37"/>
        <v>10</v>
      </c>
      <c r="H1175">
        <f t="shared" si="38"/>
        <v>10</v>
      </c>
    </row>
    <row r="1176" spans="1:8" x14ac:dyDescent="0.2">
      <c r="A1176" s="2">
        <v>41214</v>
      </c>
      <c r="B1176" s="3">
        <v>1728.25</v>
      </c>
      <c r="C1176" s="2">
        <v>41213</v>
      </c>
      <c r="D1176" s="3">
        <v>1412.16</v>
      </c>
      <c r="G1176">
        <f t="shared" si="37"/>
        <v>10</v>
      </c>
      <c r="H1176">
        <f t="shared" si="38"/>
        <v>10</v>
      </c>
    </row>
    <row r="1177" spans="1:8" x14ac:dyDescent="0.2">
      <c r="A1177" s="2">
        <v>41244</v>
      </c>
      <c r="B1177" s="3">
        <v>1664</v>
      </c>
      <c r="C1177" s="2">
        <v>41243</v>
      </c>
      <c r="D1177" s="3">
        <v>1416.18</v>
      </c>
      <c r="G1177">
        <f t="shared" si="37"/>
        <v>10</v>
      </c>
      <c r="H1177">
        <f t="shared" si="38"/>
        <v>10</v>
      </c>
    </row>
    <row r="1178" spans="1:8" x14ac:dyDescent="0.2">
      <c r="A1178" s="2">
        <v>41275</v>
      </c>
      <c r="B1178" s="3">
        <v>1674.5</v>
      </c>
      <c r="C1178" s="2">
        <v>41274</v>
      </c>
      <c r="D1178" s="3">
        <v>1426.19</v>
      </c>
      <c r="G1178">
        <f t="shared" si="37"/>
        <v>10</v>
      </c>
      <c r="H1178">
        <f t="shared" si="38"/>
        <v>10</v>
      </c>
    </row>
    <row r="1179" spans="1:8" x14ac:dyDescent="0.2">
      <c r="A1179" s="2">
        <v>41306</v>
      </c>
      <c r="B1179" s="3">
        <v>1591</v>
      </c>
      <c r="C1179" s="2">
        <v>41305</v>
      </c>
      <c r="D1179" s="3">
        <v>1498.11</v>
      </c>
      <c r="G1179">
        <f t="shared" si="37"/>
        <v>10</v>
      </c>
      <c r="H1179">
        <f t="shared" si="38"/>
        <v>10</v>
      </c>
    </row>
    <row r="1180" spans="1:8" x14ac:dyDescent="0.2">
      <c r="A1180" s="2">
        <v>41334</v>
      </c>
      <c r="B1180" s="3">
        <v>1602.5</v>
      </c>
      <c r="C1180" s="2">
        <v>41333</v>
      </c>
      <c r="D1180" s="3">
        <v>1514.68</v>
      </c>
      <c r="G1180">
        <f t="shared" si="37"/>
        <v>10</v>
      </c>
      <c r="H1180">
        <f t="shared" si="38"/>
        <v>10</v>
      </c>
    </row>
    <row r="1181" spans="1:8" x14ac:dyDescent="0.2">
      <c r="A1181" s="2">
        <v>41365</v>
      </c>
      <c r="B1181" s="3">
        <v>1472.75</v>
      </c>
      <c r="C1181" s="2">
        <v>41361</v>
      </c>
      <c r="D1181" s="3">
        <v>1569.19</v>
      </c>
      <c r="G1181">
        <f t="shared" si="37"/>
        <v>10</v>
      </c>
      <c r="H1181">
        <f t="shared" si="38"/>
        <v>10</v>
      </c>
    </row>
    <row r="1182" spans="1:8" x14ac:dyDescent="0.2">
      <c r="A1182" s="2">
        <v>41395</v>
      </c>
      <c r="B1182" s="3">
        <v>1410.25</v>
      </c>
      <c r="C1182" s="2">
        <v>41394</v>
      </c>
      <c r="D1182" s="3">
        <v>1597.57</v>
      </c>
      <c r="G1182">
        <f t="shared" si="37"/>
        <v>10</v>
      </c>
      <c r="H1182">
        <f t="shared" si="38"/>
        <v>10</v>
      </c>
    </row>
    <row r="1183" spans="1:8" x14ac:dyDescent="0.2">
      <c r="A1183" s="2">
        <v>41426</v>
      </c>
      <c r="B1183" s="3">
        <v>1203.25</v>
      </c>
      <c r="C1183" s="2">
        <v>41425</v>
      </c>
      <c r="D1183" s="3">
        <v>1630.74</v>
      </c>
      <c r="G1183">
        <f t="shared" si="37"/>
        <v>10</v>
      </c>
      <c r="H1183">
        <f t="shared" si="38"/>
        <v>10</v>
      </c>
    </row>
    <row r="1184" spans="1:8" x14ac:dyDescent="0.2">
      <c r="A1184" s="2">
        <v>41456</v>
      </c>
      <c r="B1184" s="3">
        <v>1331.5</v>
      </c>
      <c r="C1184" s="2">
        <v>41453</v>
      </c>
      <c r="D1184" s="3">
        <v>1606.28</v>
      </c>
      <c r="G1184">
        <f t="shared" si="37"/>
        <v>10</v>
      </c>
      <c r="H1184">
        <f t="shared" si="38"/>
        <v>10</v>
      </c>
    </row>
    <row r="1185" spans="1:8" x14ac:dyDescent="0.2">
      <c r="A1185" s="2">
        <v>41487</v>
      </c>
      <c r="B1185" s="3">
        <v>1392.75</v>
      </c>
      <c r="C1185" s="2">
        <v>41486</v>
      </c>
      <c r="D1185" s="3">
        <v>1685.73</v>
      </c>
      <c r="G1185">
        <f t="shared" si="37"/>
        <v>10</v>
      </c>
      <c r="H1185">
        <f t="shared" si="38"/>
        <v>10</v>
      </c>
    </row>
    <row r="1186" spans="1:8" x14ac:dyDescent="0.2">
      <c r="A1186" s="2">
        <v>41518</v>
      </c>
      <c r="B1186" s="3">
        <v>1335.75</v>
      </c>
      <c r="C1186" s="2">
        <v>41516</v>
      </c>
      <c r="D1186" s="3">
        <v>1632.97</v>
      </c>
      <c r="G1186">
        <f t="shared" si="37"/>
        <v>10</v>
      </c>
      <c r="H1186">
        <f t="shared" si="38"/>
        <v>10</v>
      </c>
    </row>
    <row r="1187" spans="1:8" x14ac:dyDescent="0.2">
      <c r="A1187" s="2">
        <v>41548</v>
      </c>
      <c r="B1187" s="3">
        <v>1333.75</v>
      </c>
      <c r="C1187" s="2">
        <v>41547</v>
      </c>
      <c r="D1187" s="3">
        <v>1681.55</v>
      </c>
      <c r="G1187">
        <f t="shared" si="37"/>
        <v>10</v>
      </c>
      <c r="H1187">
        <f t="shared" si="38"/>
        <v>10</v>
      </c>
    </row>
    <row r="1188" spans="1:8" x14ac:dyDescent="0.2">
      <c r="A1188" s="2">
        <v>41579</v>
      </c>
      <c r="B1188" s="3">
        <v>1245.25</v>
      </c>
      <c r="C1188" s="2">
        <v>41578</v>
      </c>
      <c r="D1188" s="3">
        <v>1756.54</v>
      </c>
      <c r="G1188">
        <f t="shared" si="37"/>
        <v>10</v>
      </c>
      <c r="H1188">
        <f t="shared" si="38"/>
        <v>10</v>
      </c>
    </row>
    <row r="1189" spans="1:8" x14ac:dyDescent="0.2">
      <c r="A1189" s="2">
        <v>41609</v>
      </c>
      <c r="B1189" s="3">
        <v>1201.5</v>
      </c>
      <c r="C1189" s="2">
        <v>41607</v>
      </c>
      <c r="D1189" s="3">
        <v>1805.81</v>
      </c>
      <c r="G1189">
        <f t="shared" si="37"/>
        <v>10</v>
      </c>
      <c r="H1189">
        <f t="shared" si="38"/>
        <v>10</v>
      </c>
    </row>
    <row r="1190" spans="1:8" x14ac:dyDescent="0.2">
      <c r="A1190" s="2">
        <v>41640</v>
      </c>
      <c r="B1190" s="3">
        <v>1246.5</v>
      </c>
      <c r="C1190" s="2">
        <v>41639</v>
      </c>
      <c r="D1190" s="3">
        <v>1848.36</v>
      </c>
      <c r="G1190">
        <f t="shared" si="37"/>
        <v>10</v>
      </c>
      <c r="H1190">
        <f t="shared" si="38"/>
        <v>10</v>
      </c>
    </row>
    <row r="1191" spans="1:8" x14ac:dyDescent="0.2">
      <c r="A1191" s="2">
        <v>41671</v>
      </c>
      <c r="B1191" s="3">
        <v>1327.75</v>
      </c>
      <c r="C1191" s="2">
        <v>41670</v>
      </c>
      <c r="D1191" s="3">
        <v>1782.59</v>
      </c>
      <c r="G1191">
        <f t="shared" si="37"/>
        <v>10</v>
      </c>
      <c r="H1191">
        <f t="shared" si="38"/>
        <v>10</v>
      </c>
    </row>
    <row r="1192" spans="1:8" x14ac:dyDescent="0.2">
      <c r="A1192" s="2">
        <v>41699</v>
      </c>
      <c r="B1192" s="3">
        <v>1294</v>
      </c>
      <c r="C1192" s="2">
        <v>41698</v>
      </c>
      <c r="D1192" s="3">
        <v>1859.45</v>
      </c>
      <c r="G1192">
        <f t="shared" si="37"/>
        <v>10</v>
      </c>
      <c r="H1192">
        <f t="shared" si="38"/>
        <v>10</v>
      </c>
    </row>
    <row r="1193" spans="1:8" x14ac:dyDescent="0.2">
      <c r="A1193" s="2">
        <v>41730</v>
      </c>
      <c r="B1193" s="3">
        <v>1292</v>
      </c>
      <c r="C1193" s="2">
        <v>41729</v>
      </c>
      <c r="D1193" s="3">
        <v>1872.34</v>
      </c>
      <c r="G1193">
        <f t="shared" si="37"/>
        <v>10</v>
      </c>
      <c r="H1193">
        <f t="shared" si="38"/>
        <v>10</v>
      </c>
    </row>
    <row r="1194" spans="1:8" x14ac:dyDescent="0.2">
      <c r="A1194" s="2">
        <v>41760</v>
      </c>
      <c r="B1194" s="3">
        <v>1254</v>
      </c>
      <c r="C1194" s="2">
        <v>41759</v>
      </c>
      <c r="D1194" s="3">
        <v>1883.95</v>
      </c>
      <c r="G1194">
        <f t="shared" si="37"/>
        <v>10</v>
      </c>
      <c r="H1194">
        <f t="shared" si="38"/>
        <v>10</v>
      </c>
    </row>
    <row r="1195" spans="1:8" x14ac:dyDescent="0.2">
      <c r="A1195" s="2">
        <v>41791</v>
      </c>
      <c r="B1195" s="3">
        <v>1313</v>
      </c>
      <c r="C1195" s="2">
        <v>41789</v>
      </c>
      <c r="D1195" s="3">
        <v>1923.57</v>
      </c>
      <c r="G1195">
        <f t="shared" si="37"/>
        <v>10</v>
      </c>
      <c r="H1195">
        <f t="shared" si="38"/>
        <v>10</v>
      </c>
    </row>
    <row r="1196" spans="1:8" x14ac:dyDescent="0.2">
      <c r="A1196" s="2">
        <v>41821</v>
      </c>
      <c r="B1196" s="3">
        <v>1295</v>
      </c>
      <c r="C1196" s="2">
        <v>41820</v>
      </c>
      <c r="D1196" s="3">
        <v>1960.23</v>
      </c>
      <c r="G1196">
        <f t="shared" si="37"/>
        <v>10</v>
      </c>
      <c r="H1196">
        <f t="shared" si="38"/>
        <v>10</v>
      </c>
    </row>
    <row r="1197" spans="1:8" x14ac:dyDescent="0.2">
      <c r="A1197" s="2">
        <v>41852</v>
      </c>
      <c r="B1197" s="3">
        <v>1285.75</v>
      </c>
      <c r="C1197" s="2">
        <v>41851</v>
      </c>
      <c r="D1197" s="3">
        <v>1930.67</v>
      </c>
      <c r="G1197">
        <f t="shared" si="37"/>
        <v>10</v>
      </c>
      <c r="H1197">
        <f t="shared" si="38"/>
        <v>10</v>
      </c>
    </row>
    <row r="1198" spans="1:8" x14ac:dyDescent="0.2">
      <c r="A1198" s="2">
        <v>41883</v>
      </c>
      <c r="B1198" s="3">
        <v>1210</v>
      </c>
      <c r="C1198" s="2">
        <v>41880</v>
      </c>
      <c r="D1198" s="3">
        <v>2003.37</v>
      </c>
      <c r="G1198">
        <f t="shared" si="37"/>
        <v>10</v>
      </c>
      <c r="H1198">
        <f t="shared" si="38"/>
        <v>10</v>
      </c>
    </row>
    <row r="1199" spans="1:8" x14ac:dyDescent="0.2">
      <c r="A1199" s="2">
        <v>41913</v>
      </c>
      <c r="B1199" s="3">
        <v>1173.25</v>
      </c>
      <c r="C1199" s="2">
        <v>41912</v>
      </c>
      <c r="D1199" s="3">
        <v>1972.29</v>
      </c>
      <c r="G1199">
        <f t="shared" si="37"/>
        <v>10</v>
      </c>
      <c r="H1199">
        <f t="shared" si="38"/>
        <v>10</v>
      </c>
    </row>
    <row r="1200" spans="1:8" x14ac:dyDescent="0.2">
      <c r="A1200" s="2">
        <v>41944</v>
      </c>
      <c r="B1200" s="3">
        <v>1184.5</v>
      </c>
      <c r="C1200" s="2">
        <v>41943</v>
      </c>
      <c r="D1200" s="3">
        <v>2018.05</v>
      </c>
      <c r="G1200">
        <f t="shared" si="37"/>
        <v>10</v>
      </c>
      <c r="H1200">
        <f t="shared" si="38"/>
        <v>10</v>
      </c>
    </row>
    <row r="1201" spans="1:8" x14ac:dyDescent="0.2">
      <c r="A1201" s="2">
        <v>41974</v>
      </c>
      <c r="B1201" s="3">
        <v>1199.25</v>
      </c>
      <c r="C1201" s="2">
        <v>41971</v>
      </c>
      <c r="D1201" s="3">
        <v>2067.56</v>
      </c>
      <c r="G1201">
        <f t="shared" si="37"/>
        <v>10</v>
      </c>
      <c r="H1201">
        <f t="shared" si="38"/>
        <v>10</v>
      </c>
    </row>
    <row r="1202" spans="1:8" x14ac:dyDescent="0.2">
      <c r="A1202" s="2">
        <v>42005</v>
      </c>
      <c r="B1202" s="3">
        <v>1263.5</v>
      </c>
      <c r="C1202" s="2">
        <v>42004</v>
      </c>
      <c r="D1202" s="3">
        <v>2058.9</v>
      </c>
      <c r="G1202">
        <f t="shared" si="37"/>
        <v>10</v>
      </c>
      <c r="H1202">
        <f t="shared" si="38"/>
        <v>10</v>
      </c>
    </row>
    <row r="1203" spans="1:8" x14ac:dyDescent="0.2">
      <c r="A1203" s="2">
        <v>42036</v>
      </c>
      <c r="B1203" s="3">
        <v>1205</v>
      </c>
      <c r="C1203" s="2">
        <v>42034</v>
      </c>
      <c r="D1203" s="3">
        <v>1994.99</v>
      </c>
      <c r="G1203">
        <f t="shared" si="37"/>
        <v>10</v>
      </c>
      <c r="H1203">
        <f t="shared" si="38"/>
        <v>10</v>
      </c>
    </row>
    <row r="1204" spans="1:8" x14ac:dyDescent="0.2">
      <c r="A1204" s="2">
        <v>42064</v>
      </c>
      <c r="B1204" s="3">
        <v>1179.25</v>
      </c>
      <c r="C1204" s="2">
        <v>42062</v>
      </c>
      <c r="D1204" s="3">
        <v>2104.5</v>
      </c>
      <c r="G1204">
        <f t="shared" si="37"/>
        <v>10</v>
      </c>
      <c r="H1204">
        <f t="shared" si="38"/>
        <v>10</v>
      </c>
    </row>
    <row r="1205" spans="1:8" x14ac:dyDescent="0.2">
      <c r="A1205" s="2">
        <v>42095</v>
      </c>
      <c r="B1205" s="3">
        <v>1204.3</v>
      </c>
      <c r="C1205" s="2">
        <v>42094</v>
      </c>
      <c r="D1205" s="3">
        <v>2067.89</v>
      </c>
      <c r="G1205">
        <f t="shared" si="37"/>
        <v>10</v>
      </c>
      <c r="H1205">
        <f t="shared" si="38"/>
        <v>10</v>
      </c>
    </row>
    <row r="1206" spans="1:8" x14ac:dyDescent="0.2">
      <c r="A1206" s="2">
        <v>42125</v>
      </c>
      <c r="B1206" s="3">
        <v>1189.8</v>
      </c>
      <c r="C1206" s="2">
        <v>42124</v>
      </c>
      <c r="D1206" s="3">
        <v>2085.5100000000002</v>
      </c>
      <c r="G1206">
        <f t="shared" si="37"/>
        <v>10</v>
      </c>
      <c r="H1206">
        <f t="shared" si="38"/>
        <v>10</v>
      </c>
    </row>
    <row r="1207" spans="1:8" x14ac:dyDescent="0.2">
      <c r="A1207" s="2">
        <v>42156</v>
      </c>
      <c r="B1207" s="3">
        <v>1171.8</v>
      </c>
      <c r="C1207" s="2">
        <v>42153</v>
      </c>
      <c r="D1207" s="3">
        <v>2107.39</v>
      </c>
      <c r="G1207">
        <f t="shared" si="37"/>
        <v>10</v>
      </c>
      <c r="H1207">
        <f t="shared" si="38"/>
        <v>10</v>
      </c>
    </row>
    <row r="1208" spans="1:8" x14ac:dyDescent="0.2">
      <c r="A1208" s="2">
        <v>42186</v>
      </c>
      <c r="B1208" s="3">
        <v>1095.0999999999999</v>
      </c>
      <c r="C1208" s="2">
        <v>42185</v>
      </c>
      <c r="D1208" s="3">
        <v>2063.11</v>
      </c>
      <c r="G1208">
        <f t="shared" si="37"/>
        <v>10</v>
      </c>
      <c r="H1208">
        <f t="shared" si="38"/>
        <v>10</v>
      </c>
    </row>
    <row r="1209" spans="1:8" x14ac:dyDescent="0.2">
      <c r="A1209" s="2">
        <v>42217</v>
      </c>
      <c r="B1209" s="3">
        <v>1132.5</v>
      </c>
      <c r="C1209" s="2">
        <v>42216</v>
      </c>
      <c r="D1209" s="3">
        <v>2103.84</v>
      </c>
      <c r="G1209">
        <f t="shared" si="37"/>
        <v>10</v>
      </c>
      <c r="H1209">
        <f t="shared" si="38"/>
        <v>10</v>
      </c>
    </row>
    <row r="1210" spans="1:8" x14ac:dyDescent="0.2">
      <c r="A1210" s="2">
        <v>42248</v>
      </c>
      <c r="B1210" s="3">
        <v>1115.2</v>
      </c>
      <c r="C1210" s="2">
        <v>42247</v>
      </c>
      <c r="D1210" s="3">
        <v>1972.18</v>
      </c>
      <c r="G1210">
        <f t="shared" si="37"/>
        <v>10</v>
      </c>
      <c r="H1210">
        <f t="shared" si="38"/>
        <v>10</v>
      </c>
    </row>
    <row r="1211" spans="1:8" x14ac:dyDescent="0.2">
      <c r="A1211" s="2">
        <v>42278</v>
      </c>
      <c r="B1211" s="3">
        <v>1141.4000000000001</v>
      </c>
      <c r="C1211" s="2">
        <v>42277</v>
      </c>
      <c r="D1211" s="3">
        <v>1920.03</v>
      </c>
      <c r="G1211">
        <f t="shared" si="37"/>
        <v>10</v>
      </c>
      <c r="H1211">
        <f t="shared" si="38"/>
        <v>10</v>
      </c>
    </row>
    <row r="1212" spans="1:8" x14ac:dyDescent="0.2">
      <c r="A1212" s="2">
        <v>42309</v>
      </c>
      <c r="B1212" s="3">
        <v>1065.3</v>
      </c>
      <c r="C1212" s="2">
        <v>42307</v>
      </c>
      <c r="D1212" s="3">
        <v>2079.36</v>
      </c>
      <c r="G1212">
        <f t="shared" si="37"/>
        <v>10</v>
      </c>
      <c r="H1212">
        <f t="shared" si="38"/>
        <v>10</v>
      </c>
    </row>
    <row r="1213" spans="1:8" x14ac:dyDescent="0.2">
      <c r="A1213" s="2">
        <v>42339</v>
      </c>
      <c r="B1213" s="3">
        <v>1060.2</v>
      </c>
      <c r="C1213" s="2">
        <v>42338</v>
      </c>
      <c r="D1213" s="3">
        <v>2080.41</v>
      </c>
      <c r="G1213">
        <f t="shared" si="37"/>
        <v>10</v>
      </c>
      <c r="H1213">
        <f t="shared" si="38"/>
        <v>10</v>
      </c>
    </row>
    <row r="1214" spans="1:8" x14ac:dyDescent="0.2">
      <c r="A1214" s="2">
        <v>42370</v>
      </c>
      <c r="B1214" s="3">
        <v>1116.4000000000001</v>
      </c>
      <c r="C1214" s="2">
        <v>42369</v>
      </c>
      <c r="D1214" s="3">
        <v>2043.94</v>
      </c>
      <c r="G1214">
        <f t="shared" si="37"/>
        <v>10</v>
      </c>
      <c r="H1214">
        <f t="shared" si="38"/>
        <v>10</v>
      </c>
    </row>
    <row r="1215" spans="1:8" x14ac:dyDescent="0.2">
      <c r="A1215" s="2">
        <v>42401</v>
      </c>
      <c r="B1215" s="3">
        <v>1234.4000000000001</v>
      </c>
      <c r="C1215" s="2">
        <v>42398</v>
      </c>
      <c r="D1215" s="3">
        <v>1940.24</v>
      </c>
      <c r="G1215">
        <f t="shared" si="37"/>
        <v>10</v>
      </c>
      <c r="H1215">
        <f t="shared" si="38"/>
        <v>10</v>
      </c>
    </row>
    <row r="1216" spans="1:8" x14ac:dyDescent="0.2">
      <c r="A1216" s="2">
        <v>42430</v>
      </c>
      <c r="B1216" s="3">
        <v>1235.5999999999999</v>
      </c>
      <c r="C1216" s="2">
        <v>42429</v>
      </c>
      <c r="D1216" s="3">
        <v>1932.23</v>
      </c>
      <c r="G1216">
        <f t="shared" si="37"/>
        <v>10</v>
      </c>
      <c r="H1216">
        <f t="shared" si="38"/>
        <v>10</v>
      </c>
    </row>
    <row r="1217" spans="1:8" x14ac:dyDescent="0.2">
      <c r="A1217" s="2">
        <v>42461</v>
      </c>
      <c r="B1217" s="3">
        <v>1290.5</v>
      </c>
      <c r="C1217" s="2">
        <v>42460</v>
      </c>
      <c r="D1217" s="3">
        <v>2059.7399999999998</v>
      </c>
      <c r="G1217">
        <f t="shared" si="37"/>
        <v>10</v>
      </c>
      <c r="H1217">
        <f t="shared" si="38"/>
        <v>10</v>
      </c>
    </row>
    <row r="1218" spans="1:8" x14ac:dyDescent="0.2">
      <c r="A1218" s="2">
        <v>42491</v>
      </c>
      <c r="B1218" s="3">
        <v>1217.5</v>
      </c>
      <c r="C1218" s="2">
        <v>42489</v>
      </c>
      <c r="D1218" s="3">
        <v>2065.3000000000002</v>
      </c>
      <c r="G1218">
        <f t="shared" si="37"/>
        <v>10</v>
      </c>
      <c r="H1218">
        <f t="shared" si="38"/>
        <v>10</v>
      </c>
    </row>
    <row r="1219" spans="1:8" x14ac:dyDescent="0.2">
      <c r="A1219" s="2">
        <v>42522</v>
      </c>
      <c r="B1219" s="3">
        <v>1320.6</v>
      </c>
      <c r="C1219" s="2">
        <v>42521</v>
      </c>
      <c r="D1219" s="3">
        <v>2096.96</v>
      </c>
      <c r="G1219">
        <f t="shared" ref="G1219:G1282" si="39">IF(AND(A1219&gt;=DATE(1973,1,1), A1219&lt;=DATE(1982,12,31)), 10000, 10)</f>
        <v>10</v>
      </c>
      <c r="H1219">
        <f t="shared" ref="H1219:H1282" si="40">IF(AND(A1219&gt;=DATE(1983,1,1), A1219&lt;=DATE(2007,12,31)), 10000, 10)</f>
        <v>10</v>
      </c>
    </row>
    <row r="1220" spans="1:8" x14ac:dyDescent="0.2">
      <c r="A1220" s="2">
        <v>42552</v>
      </c>
      <c r="B1220" s="3">
        <v>1357.5</v>
      </c>
      <c r="C1220" s="2">
        <v>42551</v>
      </c>
      <c r="D1220" s="3">
        <v>2098.86</v>
      </c>
      <c r="G1220">
        <f t="shared" si="39"/>
        <v>10</v>
      </c>
      <c r="H1220">
        <f t="shared" si="40"/>
        <v>10</v>
      </c>
    </row>
    <row r="1221" spans="1:8" x14ac:dyDescent="0.2">
      <c r="A1221" s="2">
        <v>42583</v>
      </c>
      <c r="B1221" s="3">
        <v>1311.4</v>
      </c>
      <c r="C1221" s="2">
        <v>42580</v>
      </c>
      <c r="D1221" s="3">
        <v>2173.6</v>
      </c>
      <c r="G1221">
        <f t="shared" si="39"/>
        <v>10</v>
      </c>
      <c r="H1221">
        <f t="shared" si="40"/>
        <v>10</v>
      </c>
    </row>
    <row r="1222" spans="1:8" x14ac:dyDescent="0.2">
      <c r="A1222" s="2">
        <v>42614</v>
      </c>
      <c r="B1222" s="3">
        <v>1317.1</v>
      </c>
      <c r="C1222" s="2">
        <v>42613</v>
      </c>
      <c r="D1222" s="3">
        <v>2170.9499999999998</v>
      </c>
      <c r="G1222">
        <f t="shared" si="39"/>
        <v>10</v>
      </c>
      <c r="H1222">
        <f t="shared" si="40"/>
        <v>10</v>
      </c>
    </row>
    <row r="1223" spans="1:8" x14ac:dyDescent="0.2">
      <c r="A1223" s="2">
        <v>42644</v>
      </c>
      <c r="B1223" s="3">
        <v>1273.0999999999999</v>
      </c>
      <c r="C1223" s="2">
        <v>42643</v>
      </c>
      <c r="D1223" s="3">
        <v>2168.27</v>
      </c>
      <c r="G1223">
        <f t="shared" si="39"/>
        <v>10</v>
      </c>
      <c r="H1223">
        <f t="shared" si="40"/>
        <v>10</v>
      </c>
    </row>
    <row r="1224" spans="1:8" x14ac:dyDescent="0.2">
      <c r="A1224" s="2">
        <v>42675</v>
      </c>
      <c r="B1224" s="3">
        <v>1173.9000000000001</v>
      </c>
      <c r="C1224" s="2">
        <v>42674</v>
      </c>
      <c r="D1224" s="3">
        <v>2126.15</v>
      </c>
      <c r="G1224">
        <f t="shared" si="39"/>
        <v>10</v>
      </c>
      <c r="H1224">
        <f t="shared" si="40"/>
        <v>10</v>
      </c>
    </row>
    <row r="1225" spans="1:8" x14ac:dyDescent="0.2">
      <c r="A1225" s="2">
        <v>42705</v>
      </c>
      <c r="B1225" s="3">
        <v>1151.7</v>
      </c>
      <c r="C1225" s="2">
        <v>42704</v>
      </c>
      <c r="D1225" s="3">
        <v>2198.81</v>
      </c>
      <c r="G1225">
        <f t="shared" si="39"/>
        <v>10</v>
      </c>
      <c r="H1225">
        <f t="shared" si="40"/>
        <v>10</v>
      </c>
    </row>
    <row r="1226" spans="1:8" x14ac:dyDescent="0.2">
      <c r="A1226" s="2">
        <v>42736</v>
      </c>
      <c r="B1226" s="3">
        <v>1211.4000000000001</v>
      </c>
      <c r="C1226" s="2">
        <v>42734</v>
      </c>
      <c r="D1226" s="3">
        <v>2238.83</v>
      </c>
      <c r="G1226">
        <f t="shared" si="39"/>
        <v>10</v>
      </c>
      <c r="H1226">
        <f t="shared" si="40"/>
        <v>10</v>
      </c>
    </row>
    <row r="1227" spans="1:8" x14ac:dyDescent="0.2">
      <c r="A1227" s="2">
        <v>42767</v>
      </c>
      <c r="B1227" s="3">
        <v>1253.9000000000001</v>
      </c>
      <c r="C1227" s="2">
        <v>42766</v>
      </c>
      <c r="D1227" s="3">
        <v>2278.87</v>
      </c>
      <c r="G1227">
        <f t="shared" si="39"/>
        <v>10</v>
      </c>
      <c r="H1227">
        <f t="shared" si="40"/>
        <v>10</v>
      </c>
    </row>
    <row r="1228" spans="1:8" x14ac:dyDescent="0.2">
      <c r="A1228" s="2">
        <v>42795</v>
      </c>
      <c r="B1228" s="3">
        <v>1251.2</v>
      </c>
      <c r="C1228" s="2">
        <v>42794</v>
      </c>
      <c r="D1228" s="3">
        <v>2363.64</v>
      </c>
      <c r="G1228">
        <f t="shared" si="39"/>
        <v>10</v>
      </c>
      <c r="H1228">
        <f t="shared" si="40"/>
        <v>10</v>
      </c>
    </row>
    <row r="1229" spans="1:8" x14ac:dyDescent="0.2">
      <c r="A1229" s="2">
        <v>42826</v>
      </c>
      <c r="B1229" s="3">
        <v>1268.3</v>
      </c>
      <c r="C1229" s="2">
        <v>42825</v>
      </c>
      <c r="D1229" s="3">
        <v>2362.7199999999998</v>
      </c>
      <c r="G1229">
        <f t="shared" si="39"/>
        <v>10</v>
      </c>
      <c r="H1229">
        <f t="shared" si="40"/>
        <v>10</v>
      </c>
    </row>
    <row r="1230" spans="1:8" x14ac:dyDescent="0.2">
      <c r="A1230" s="2">
        <v>42856</v>
      </c>
      <c r="B1230" s="3">
        <v>1275.4000000000001</v>
      </c>
      <c r="C1230" s="2">
        <v>42853</v>
      </c>
      <c r="D1230" s="3">
        <v>2384.1999999999998</v>
      </c>
      <c r="G1230">
        <f t="shared" si="39"/>
        <v>10</v>
      </c>
      <c r="H1230">
        <f t="shared" si="40"/>
        <v>10</v>
      </c>
    </row>
    <row r="1231" spans="1:8" x14ac:dyDescent="0.2">
      <c r="A1231" s="2">
        <v>42887</v>
      </c>
      <c r="B1231" s="3">
        <v>1242.3</v>
      </c>
      <c r="C1231" s="2">
        <v>42886</v>
      </c>
      <c r="D1231" s="3">
        <v>2411.8000000000002</v>
      </c>
      <c r="G1231">
        <f t="shared" si="39"/>
        <v>10</v>
      </c>
      <c r="H1231">
        <f t="shared" si="40"/>
        <v>10</v>
      </c>
    </row>
    <row r="1232" spans="1:8" x14ac:dyDescent="0.2">
      <c r="A1232" s="2">
        <v>42917</v>
      </c>
      <c r="B1232" s="3">
        <v>1273.4000000000001</v>
      </c>
      <c r="C1232" s="2">
        <v>42916</v>
      </c>
      <c r="D1232" s="3">
        <v>2423.41</v>
      </c>
      <c r="G1232">
        <f t="shared" si="39"/>
        <v>10</v>
      </c>
      <c r="H1232">
        <f t="shared" si="40"/>
        <v>10</v>
      </c>
    </row>
    <row r="1233" spans="1:8" x14ac:dyDescent="0.2">
      <c r="A1233" s="2">
        <v>42948</v>
      </c>
      <c r="B1233" s="3">
        <v>1322.2</v>
      </c>
      <c r="C1233" s="2">
        <v>42947</v>
      </c>
      <c r="D1233" s="3">
        <v>2470.3000000000002</v>
      </c>
      <c r="G1233">
        <f t="shared" si="39"/>
        <v>10</v>
      </c>
      <c r="H1233">
        <f t="shared" si="40"/>
        <v>10</v>
      </c>
    </row>
    <row r="1234" spans="1:8" x14ac:dyDescent="0.2">
      <c r="A1234" s="2">
        <v>42979</v>
      </c>
      <c r="B1234" s="3">
        <v>1284.8</v>
      </c>
      <c r="C1234" s="2">
        <v>42978</v>
      </c>
      <c r="D1234" s="3">
        <v>2471.65</v>
      </c>
      <c r="G1234">
        <f t="shared" si="39"/>
        <v>10</v>
      </c>
      <c r="H1234">
        <f t="shared" si="40"/>
        <v>10</v>
      </c>
    </row>
    <row r="1235" spans="1:8" x14ac:dyDescent="0.2">
      <c r="A1235" s="2">
        <v>43009</v>
      </c>
      <c r="B1235" s="3">
        <v>1270.5</v>
      </c>
      <c r="C1235" s="2">
        <v>43007</v>
      </c>
      <c r="D1235" s="3">
        <v>2519.36</v>
      </c>
      <c r="G1235">
        <f t="shared" si="39"/>
        <v>10</v>
      </c>
      <c r="H1235">
        <f t="shared" si="40"/>
        <v>10</v>
      </c>
    </row>
    <row r="1236" spans="1:8" x14ac:dyDescent="0.2">
      <c r="A1236" s="2">
        <v>43040</v>
      </c>
      <c r="B1236" s="3">
        <v>1282.1500000000001</v>
      </c>
      <c r="C1236" s="2">
        <v>43039</v>
      </c>
      <c r="D1236" s="3">
        <v>2575.2600000000002</v>
      </c>
      <c r="G1236">
        <f t="shared" si="39"/>
        <v>10</v>
      </c>
      <c r="H1236">
        <f t="shared" si="40"/>
        <v>10</v>
      </c>
    </row>
    <row r="1237" spans="1:8" x14ac:dyDescent="0.2">
      <c r="A1237" s="2">
        <v>43070</v>
      </c>
      <c r="B1237" s="3">
        <v>1296.5</v>
      </c>
      <c r="C1237" s="2">
        <v>43069</v>
      </c>
      <c r="D1237" s="3">
        <v>2647.58</v>
      </c>
      <c r="G1237">
        <f t="shared" si="39"/>
        <v>10</v>
      </c>
      <c r="H1237">
        <f t="shared" si="40"/>
        <v>10</v>
      </c>
    </row>
    <row r="1238" spans="1:8" x14ac:dyDescent="0.2">
      <c r="A1238" s="2">
        <v>43101</v>
      </c>
      <c r="B1238" s="3">
        <v>1343.35</v>
      </c>
      <c r="C1238" s="2">
        <v>43098</v>
      </c>
      <c r="D1238" s="3">
        <v>2673.61</v>
      </c>
      <c r="G1238">
        <f t="shared" si="39"/>
        <v>10</v>
      </c>
      <c r="H1238">
        <f t="shared" si="40"/>
        <v>10</v>
      </c>
    </row>
    <row r="1239" spans="1:8" x14ac:dyDescent="0.2">
      <c r="A1239" s="2">
        <v>43132</v>
      </c>
      <c r="B1239" s="3">
        <v>1320.3</v>
      </c>
      <c r="C1239" s="2">
        <v>43131</v>
      </c>
      <c r="D1239" s="3">
        <v>2823.81</v>
      </c>
      <c r="G1239">
        <f t="shared" si="39"/>
        <v>10</v>
      </c>
      <c r="H1239">
        <f t="shared" si="40"/>
        <v>10</v>
      </c>
    </row>
    <row r="1240" spans="1:8" x14ac:dyDescent="0.2">
      <c r="A1240" s="2">
        <v>43160</v>
      </c>
      <c r="B1240" s="3">
        <v>1323.9</v>
      </c>
      <c r="C1240" s="2">
        <v>43159</v>
      </c>
      <c r="D1240" s="3">
        <v>2713.83</v>
      </c>
      <c r="G1240">
        <f t="shared" si="39"/>
        <v>10</v>
      </c>
      <c r="H1240">
        <f t="shared" si="40"/>
        <v>10</v>
      </c>
    </row>
    <row r="1241" spans="1:8" x14ac:dyDescent="0.2">
      <c r="A1241" s="2">
        <v>43191</v>
      </c>
      <c r="B1241" s="3">
        <v>1316.25</v>
      </c>
      <c r="C1241" s="2">
        <v>43188</v>
      </c>
      <c r="D1241" s="3">
        <v>2640.87</v>
      </c>
      <c r="G1241">
        <f t="shared" si="39"/>
        <v>10</v>
      </c>
      <c r="H1241">
        <f t="shared" si="40"/>
        <v>10</v>
      </c>
    </row>
    <row r="1242" spans="1:8" x14ac:dyDescent="0.2">
      <c r="A1242" s="2">
        <v>43221</v>
      </c>
      <c r="B1242" s="3">
        <v>1303.5</v>
      </c>
      <c r="C1242" s="2">
        <v>43220</v>
      </c>
      <c r="D1242" s="3">
        <v>2648.05</v>
      </c>
      <c r="G1242">
        <f t="shared" si="39"/>
        <v>10</v>
      </c>
      <c r="H1242">
        <f t="shared" si="40"/>
        <v>10</v>
      </c>
    </row>
    <row r="1243" spans="1:8" x14ac:dyDescent="0.2">
      <c r="A1243" s="2">
        <v>43252</v>
      </c>
      <c r="B1243" s="3">
        <v>1250.55</v>
      </c>
      <c r="C1243" s="2">
        <v>43251</v>
      </c>
      <c r="D1243" s="3">
        <v>2705.27</v>
      </c>
      <c r="G1243">
        <f t="shared" si="39"/>
        <v>10</v>
      </c>
      <c r="H1243">
        <f t="shared" si="40"/>
        <v>10</v>
      </c>
    </row>
    <row r="1244" spans="1:8" x14ac:dyDescent="0.2">
      <c r="A1244" s="2">
        <v>43282</v>
      </c>
      <c r="B1244" s="3">
        <v>1219.2</v>
      </c>
      <c r="C1244" s="2">
        <v>43280</v>
      </c>
      <c r="D1244" s="3">
        <v>2718.37</v>
      </c>
      <c r="G1244">
        <f t="shared" si="39"/>
        <v>10</v>
      </c>
      <c r="H1244">
        <f t="shared" si="40"/>
        <v>10</v>
      </c>
    </row>
    <row r="1245" spans="1:8" x14ac:dyDescent="0.2">
      <c r="A1245" s="2">
        <v>43313</v>
      </c>
      <c r="B1245" s="3">
        <v>1206.8499999999999</v>
      </c>
      <c r="C1245" s="2">
        <v>43312</v>
      </c>
      <c r="D1245" s="3">
        <v>2816.29</v>
      </c>
      <c r="G1245">
        <f t="shared" si="39"/>
        <v>10</v>
      </c>
      <c r="H1245">
        <f t="shared" si="40"/>
        <v>10</v>
      </c>
    </row>
    <row r="1246" spans="1:8" x14ac:dyDescent="0.2">
      <c r="A1246" s="2">
        <v>43344</v>
      </c>
      <c r="B1246" s="3">
        <v>1183.5</v>
      </c>
      <c r="C1246" s="2">
        <v>43343</v>
      </c>
      <c r="D1246" s="3">
        <v>2901.52</v>
      </c>
      <c r="G1246">
        <f t="shared" si="39"/>
        <v>10</v>
      </c>
      <c r="H1246">
        <f t="shared" si="40"/>
        <v>10</v>
      </c>
    </row>
    <row r="1247" spans="1:8" x14ac:dyDescent="0.2">
      <c r="A1247" s="2">
        <v>43374</v>
      </c>
      <c r="B1247" s="3">
        <v>1217.7</v>
      </c>
      <c r="C1247" s="2">
        <v>43371</v>
      </c>
      <c r="D1247" s="3">
        <v>2913.98</v>
      </c>
      <c r="G1247">
        <f t="shared" si="39"/>
        <v>10</v>
      </c>
      <c r="H1247">
        <f t="shared" si="40"/>
        <v>10</v>
      </c>
    </row>
    <row r="1248" spans="1:8" x14ac:dyDescent="0.2">
      <c r="A1248" s="2">
        <v>43405</v>
      </c>
      <c r="B1248" s="3">
        <v>1220.45</v>
      </c>
      <c r="C1248" s="2">
        <v>43404</v>
      </c>
      <c r="D1248" s="3">
        <v>2711.74</v>
      </c>
      <c r="G1248">
        <f t="shared" si="39"/>
        <v>10</v>
      </c>
      <c r="H1248">
        <f t="shared" si="40"/>
        <v>10</v>
      </c>
    </row>
    <row r="1249" spans="1:8" x14ac:dyDescent="0.2">
      <c r="A1249" s="2">
        <v>43435</v>
      </c>
      <c r="B1249" s="3">
        <v>1281.6500000000001</v>
      </c>
      <c r="C1249" s="2">
        <v>43434</v>
      </c>
      <c r="D1249" s="3">
        <v>2760.17</v>
      </c>
      <c r="G1249">
        <f t="shared" si="39"/>
        <v>10</v>
      </c>
      <c r="H1249">
        <f t="shared" si="40"/>
        <v>10</v>
      </c>
    </row>
    <row r="1250" spans="1:8" x14ac:dyDescent="0.2">
      <c r="A1250" s="2">
        <v>43466</v>
      </c>
      <c r="B1250" s="3">
        <v>1322.5</v>
      </c>
      <c r="C1250" s="2">
        <v>43465</v>
      </c>
      <c r="D1250" s="3">
        <v>2506.85</v>
      </c>
      <c r="G1250">
        <f t="shared" si="39"/>
        <v>10</v>
      </c>
      <c r="H1250">
        <f t="shared" si="40"/>
        <v>10</v>
      </c>
    </row>
    <row r="1251" spans="1:8" x14ac:dyDescent="0.2">
      <c r="A1251" s="2">
        <v>43497</v>
      </c>
      <c r="B1251" s="3">
        <v>1325.45</v>
      </c>
      <c r="C1251" s="2">
        <v>43496</v>
      </c>
      <c r="D1251" s="3">
        <v>2704.1</v>
      </c>
      <c r="G1251">
        <f t="shared" si="39"/>
        <v>10</v>
      </c>
      <c r="H1251">
        <f t="shared" si="40"/>
        <v>10</v>
      </c>
    </row>
    <row r="1252" spans="1:8" x14ac:dyDescent="0.2">
      <c r="A1252" s="2">
        <v>43525</v>
      </c>
      <c r="B1252" s="3">
        <v>1291.1500000000001</v>
      </c>
      <c r="C1252" s="2">
        <v>43524</v>
      </c>
      <c r="D1252" s="3">
        <v>2784.49</v>
      </c>
      <c r="G1252">
        <f t="shared" si="39"/>
        <v>10</v>
      </c>
      <c r="H1252">
        <f t="shared" si="40"/>
        <v>10</v>
      </c>
    </row>
    <row r="1253" spans="1:8" x14ac:dyDescent="0.2">
      <c r="A1253" s="2">
        <v>43556</v>
      </c>
      <c r="B1253" s="3">
        <v>1285.1500000000001</v>
      </c>
      <c r="C1253" s="2">
        <v>43553</v>
      </c>
      <c r="D1253" s="3">
        <v>2834.4</v>
      </c>
      <c r="G1253">
        <f t="shared" si="39"/>
        <v>10</v>
      </c>
      <c r="H1253">
        <f t="shared" si="40"/>
        <v>10</v>
      </c>
    </row>
    <row r="1254" spans="1:8" x14ac:dyDescent="0.2">
      <c r="A1254" s="2">
        <v>43586</v>
      </c>
      <c r="B1254" s="3">
        <v>1296</v>
      </c>
      <c r="C1254" s="2">
        <v>43585</v>
      </c>
      <c r="D1254" s="3">
        <v>2945.83</v>
      </c>
      <c r="G1254">
        <f t="shared" si="39"/>
        <v>10</v>
      </c>
      <c r="H1254">
        <f t="shared" si="40"/>
        <v>10</v>
      </c>
    </row>
    <row r="1255" spans="1:8" x14ac:dyDescent="0.2">
      <c r="A1255" s="2">
        <v>43617</v>
      </c>
      <c r="B1255" s="3">
        <v>1413.2</v>
      </c>
      <c r="C1255" s="2">
        <v>43616</v>
      </c>
      <c r="D1255" s="3">
        <v>2752.06</v>
      </c>
      <c r="G1255">
        <f t="shared" si="39"/>
        <v>10</v>
      </c>
      <c r="H1255">
        <f t="shared" si="40"/>
        <v>10</v>
      </c>
    </row>
    <row r="1256" spans="1:8" x14ac:dyDescent="0.2">
      <c r="A1256" s="2">
        <v>43647</v>
      </c>
      <c r="B1256" s="3">
        <v>1430.55</v>
      </c>
      <c r="C1256" s="2">
        <v>43644</v>
      </c>
      <c r="D1256" s="3">
        <v>2941.76</v>
      </c>
      <c r="G1256">
        <f t="shared" si="39"/>
        <v>10</v>
      </c>
      <c r="H1256">
        <f t="shared" si="40"/>
        <v>10</v>
      </c>
    </row>
    <row r="1257" spans="1:8" x14ac:dyDescent="0.2">
      <c r="A1257" s="2">
        <v>43678</v>
      </c>
      <c r="B1257" s="3">
        <v>1526.55</v>
      </c>
      <c r="C1257" s="2">
        <v>43677</v>
      </c>
      <c r="D1257" s="3">
        <v>2980.38</v>
      </c>
      <c r="G1257">
        <f t="shared" si="39"/>
        <v>10</v>
      </c>
      <c r="H1257">
        <f t="shared" si="40"/>
        <v>10</v>
      </c>
    </row>
    <row r="1258" spans="1:8" x14ac:dyDescent="0.2">
      <c r="A1258" s="2">
        <v>43709</v>
      </c>
      <c r="B1258" s="3">
        <v>1487.6</v>
      </c>
      <c r="C1258" s="2">
        <v>43707</v>
      </c>
      <c r="D1258" s="3">
        <v>2926.46</v>
      </c>
      <c r="G1258">
        <f t="shared" si="39"/>
        <v>10</v>
      </c>
      <c r="H1258">
        <f t="shared" si="40"/>
        <v>10</v>
      </c>
    </row>
    <row r="1259" spans="1:8" x14ac:dyDescent="0.2">
      <c r="A1259" s="2">
        <v>43739</v>
      </c>
      <c r="B1259" s="3">
        <v>1506.4</v>
      </c>
      <c r="C1259" s="2">
        <v>43738</v>
      </c>
      <c r="D1259" s="3">
        <v>2976.74</v>
      </c>
      <c r="G1259">
        <f t="shared" si="39"/>
        <v>10</v>
      </c>
      <c r="H1259">
        <f t="shared" si="40"/>
        <v>10</v>
      </c>
    </row>
    <row r="1260" spans="1:8" x14ac:dyDescent="0.2">
      <c r="A1260" s="2">
        <v>43770</v>
      </c>
      <c r="B1260" s="3">
        <v>1456.35</v>
      </c>
      <c r="C1260" s="2">
        <v>43769</v>
      </c>
      <c r="D1260" s="3">
        <v>3037.56</v>
      </c>
      <c r="G1260">
        <f t="shared" si="39"/>
        <v>10</v>
      </c>
      <c r="H1260">
        <f t="shared" si="40"/>
        <v>10</v>
      </c>
    </row>
    <row r="1261" spans="1:8" x14ac:dyDescent="0.2">
      <c r="A1261" s="2">
        <v>43800</v>
      </c>
      <c r="B1261" s="3">
        <v>1523</v>
      </c>
      <c r="C1261" s="2">
        <v>43798</v>
      </c>
      <c r="D1261" s="3">
        <v>3140.98</v>
      </c>
      <c r="G1261">
        <f t="shared" si="39"/>
        <v>10</v>
      </c>
      <c r="H1261">
        <f t="shared" si="40"/>
        <v>10</v>
      </c>
    </row>
    <row r="1262" spans="1:8" x14ac:dyDescent="0.2">
      <c r="A1262" s="2">
        <v>43831</v>
      </c>
      <c r="B1262" s="3">
        <v>1580.85</v>
      </c>
      <c r="C1262" s="2">
        <v>43830</v>
      </c>
      <c r="D1262" s="3">
        <v>3230.78</v>
      </c>
      <c r="G1262">
        <f t="shared" si="39"/>
        <v>10</v>
      </c>
      <c r="H1262">
        <f t="shared" si="40"/>
        <v>10</v>
      </c>
    </row>
    <row r="1263" spans="1:8" x14ac:dyDescent="0.2">
      <c r="A1263" s="2">
        <v>43862</v>
      </c>
      <c r="B1263" s="3">
        <v>1626.35</v>
      </c>
      <c r="C1263" s="2">
        <v>43861</v>
      </c>
      <c r="D1263" s="3">
        <v>3225.52</v>
      </c>
      <c r="G1263">
        <f t="shared" si="39"/>
        <v>10</v>
      </c>
      <c r="H1263">
        <f t="shared" si="40"/>
        <v>10</v>
      </c>
    </row>
    <row r="1264" spans="1:8" x14ac:dyDescent="0.2">
      <c r="A1264" s="2">
        <v>43891</v>
      </c>
      <c r="B1264" s="3">
        <v>1604.65</v>
      </c>
      <c r="C1264" s="2">
        <v>43889</v>
      </c>
      <c r="D1264" s="3">
        <v>2954.22</v>
      </c>
      <c r="G1264">
        <f t="shared" si="39"/>
        <v>10</v>
      </c>
      <c r="H1264">
        <f t="shared" si="40"/>
        <v>10</v>
      </c>
    </row>
    <row r="1265" spans="1:8" x14ac:dyDescent="0.2">
      <c r="A1265" s="2">
        <v>43922</v>
      </c>
      <c r="B1265" s="3">
        <v>1716.75</v>
      </c>
      <c r="C1265" s="2">
        <v>43921</v>
      </c>
      <c r="D1265" s="3">
        <v>2584.59</v>
      </c>
      <c r="G1265">
        <f t="shared" si="39"/>
        <v>10</v>
      </c>
      <c r="H1265">
        <f t="shared" si="40"/>
        <v>10</v>
      </c>
    </row>
    <row r="1266" spans="1:8" x14ac:dyDescent="0.2">
      <c r="A1266" s="2">
        <v>43952</v>
      </c>
      <c r="B1266" s="3">
        <v>1725.65</v>
      </c>
      <c r="C1266" s="2">
        <v>43951</v>
      </c>
      <c r="D1266" s="3">
        <v>2912.43</v>
      </c>
      <c r="G1266">
        <f t="shared" si="39"/>
        <v>10</v>
      </c>
      <c r="H1266">
        <f t="shared" si="40"/>
        <v>10</v>
      </c>
    </row>
    <row r="1267" spans="1:8" x14ac:dyDescent="0.2">
      <c r="A1267" s="2">
        <v>43983</v>
      </c>
      <c r="B1267" s="3">
        <v>1770.7</v>
      </c>
      <c r="C1267" s="2">
        <v>43980</v>
      </c>
      <c r="D1267" s="3">
        <v>3044.31</v>
      </c>
      <c r="G1267">
        <f t="shared" si="39"/>
        <v>10</v>
      </c>
      <c r="H1267">
        <f t="shared" si="40"/>
        <v>10</v>
      </c>
    </row>
    <row r="1268" spans="1:8" x14ac:dyDescent="0.2">
      <c r="A1268" s="2">
        <v>44013</v>
      </c>
      <c r="B1268" s="3">
        <v>1971.68</v>
      </c>
      <c r="C1268" s="2">
        <v>44012</v>
      </c>
      <c r="D1268" s="3">
        <v>3100.29</v>
      </c>
      <c r="G1268">
        <f t="shared" si="39"/>
        <v>10</v>
      </c>
      <c r="H1268">
        <f t="shared" si="40"/>
        <v>10</v>
      </c>
    </row>
    <row r="1269" spans="1:8" x14ac:dyDescent="0.2">
      <c r="A1269" s="2">
        <v>44044</v>
      </c>
      <c r="B1269" s="3">
        <v>1970.5</v>
      </c>
      <c r="C1269" s="2">
        <v>44043</v>
      </c>
      <c r="D1269" s="3">
        <v>3271.12</v>
      </c>
      <c r="G1269">
        <f t="shared" si="39"/>
        <v>10</v>
      </c>
      <c r="H1269">
        <f t="shared" si="40"/>
        <v>10</v>
      </c>
    </row>
    <row r="1270" spans="1:8" x14ac:dyDescent="0.2">
      <c r="A1270" s="2">
        <v>44075</v>
      </c>
      <c r="B1270" s="3">
        <v>1893.9</v>
      </c>
      <c r="C1270" s="2">
        <v>44074</v>
      </c>
      <c r="D1270" s="3">
        <v>3500.31</v>
      </c>
      <c r="G1270">
        <f t="shared" si="39"/>
        <v>10</v>
      </c>
      <c r="H1270">
        <f t="shared" si="40"/>
        <v>10</v>
      </c>
    </row>
    <row r="1271" spans="1:8" x14ac:dyDescent="0.2">
      <c r="A1271" s="2">
        <v>44105</v>
      </c>
      <c r="B1271" s="3">
        <v>1879.9</v>
      </c>
      <c r="C1271" s="2">
        <v>44104</v>
      </c>
      <c r="D1271" s="3">
        <v>3363</v>
      </c>
      <c r="G1271">
        <f t="shared" si="39"/>
        <v>10</v>
      </c>
      <c r="H1271">
        <f t="shared" si="40"/>
        <v>10</v>
      </c>
    </row>
    <row r="1272" spans="1:8" x14ac:dyDescent="0.2">
      <c r="A1272" s="2">
        <v>44136</v>
      </c>
      <c r="B1272" s="3">
        <v>1779.86</v>
      </c>
      <c r="C1272" s="2">
        <v>44134</v>
      </c>
      <c r="D1272" s="3">
        <v>3269.96</v>
      </c>
      <c r="G1272">
        <f t="shared" si="39"/>
        <v>10</v>
      </c>
      <c r="H1272">
        <f t="shared" si="40"/>
        <v>10</v>
      </c>
    </row>
    <row r="1273" spans="1:8" x14ac:dyDescent="0.2">
      <c r="A1273" s="2">
        <v>44166</v>
      </c>
      <c r="B1273" s="3">
        <v>1895.1</v>
      </c>
      <c r="C1273" s="2">
        <v>44165</v>
      </c>
      <c r="D1273" s="3">
        <v>3621.63</v>
      </c>
      <c r="G1273">
        <f t="shared" si="39"/>
        <v>10</v>
      </c>
      <c r="H1273">
        <f t="shared" si="40"/>
        <v>10</v>
      </c>
    </row>
    <row r="1274" spans="1:8" x14ac:dyDescent="0.2">
      <c r="A1274" s="2">
        <v>44197</v>
      </c>
      <c r="B1274" s="3">
        <v>1849.7</v>
      </c>
      <c r="C1274" s="2">
        <v>44196</v>
      </c>
      <c r="D1274" s="3">
        <v>3756.07</v>
      </c>
      <c r="G1274">
        <f t="shared" si="39"/>
        <v>10</v>
      </c>
      <c r="H1274">
        <f t="shared" si="40"/>
        <v>10</v>
      </c>
    </row>
    <row r="1275" spans="1:8" x14ac:dyDescent="0.2">
      <c r="A1275" s="2">
        <v>44228</v>
      </c>
      <c r="B1275" s="3">
        <v>1728.8</v>
      </c>
      <c r="C1275" s="2">
        <v>44225</v>
      </c>
      <c r="D1275" s="3">
        <v>3714.24</v>
      </c>
      <c r="G1275">
        <f t="shared" si="39"/>
        <v>10</v>
      </c>
      <c r="H1275">
        <f t="shared" si="40"/>
        <v>10</v>
      </c>
    </row>
    <row r="1276" spans="1:8" x14ac:dyDescent="0.2">
      <c r="A1276" s="2">
        <v>44256</v>
      </c>
      <c r="B1276" s="3">
        <v>1715.24</v>
      </c>
      <c r="C1276" s="2">
        <v>44253</v>
      </c>
      <c r="D1276" s="3">
        <v>3811.15</v>
      </c>
      <c r="G1276">
        <f t="shared" si="39"/>
        <v>10</v>
      </c>
      <c r="H1276">
        <f t="shared" si="40"/>
        <v>10</v>
      </c>
    </row>
    <row r="1277" spans="1:8" x14ac:dyDescent="0.2">
      <c r="A1277" s="2">
        <v>44287</v>
      </c>
      <c r="B1277" s="3">
        <v>1767.7</v>
      </c>
      <c r="C1277" s="2">
        <v>44286</v>
      </c>
      <c r="D1277" s="3">
        <v>3972.89</v>
      </c>
      <c r="G1277">
        <f t="shared" si="39"/>
        <v>10</v>
      </c>
      <c r="H1277">
        <f t="shared" si="40"/>
        <v>10</v>
      </c>
    </row>
    <row r="1278" spans="1:8" x14ac:dyDescent="0.2">
      <c r="A1278" s="2">
        <v>44317</v>
      </c>
      <c r="B1278" s="3">
        <v>1904.74</v>
      </c>
      <c r="C1278" s="2">
        <v>44316</v>
      </c>
      <c r="D1278" s="3">
        <v>4181.17</v>
      </c>
      <c r="G1278">
        <f t="shared" si="39"/>
        <v>10</v>
      </c>
      <c r="H1278">
        <f t="shared" si="40"/>
        <v>10</v>
      </c>
    </row>
    <row r="1279" spans="1:8" x14ac:dyDescent="0.2">
      <c r="A1279" s="2">
        <v>44348</v>
      </c>
      <c r="B1279" s="3">
        <v>1771.6</v>
      </c>
      <c r="C1279" s="2">
        <v>44344</v>
      </c>
      <c r="D1279" s="3">
        <v>4204.1099999999997</v>
      </c>
      <c r="G1279">
        <f t="shared" si="39"/>
        <v>10</v>
      </c>
      <c r="H1279">
        <f t="shared" si="40"/>
        <v>10</v>
      </c>
    </row>
    <row r="1280" spans="1:8" x14ac:dyDescent="0.2">
      <c r="A1280" s="2">
        <v>44378</v>
      </c>
      <c r="B1280" s="3">
        <v>1814.12</v>
      </c>
      <c r="C1280" s="2">
        <v>44377</v>
      </c>
      <c r="D1280" s="3">
        <v>4297.5</v>
      </c>
      <c r="G1280">
        <f t="shared" si="39"/>
        <v>10</v>
      </c>
      <c r="H1280">
        <f t="shared" si="40"/>
        <v>10</v>
      </c>
    </row>
    <row r="1281" spans="1:8" x14ac:dyDescent="0.2">
      <c r="A1281" s="2">
        <v>44409</v>
      </c>
      <c r="B1281" s="3">
        <v>1815.8</v>
      </c>
      <c r="C1281" s="2">
        <v>44407</v>
      </c>
      <c r="D1281" s="3">
        <v>4395.26</v>
      </c>
      <c r="G1281">
        <f t="shared" si="39"/>
        <v>10</v>
      </c>
      <c r="H1281">
        <f t="shared" si="40"/>
        <v>10</v>
      </c>
    </row>
    <row r="1282" spans="1:8" x14ac:dyDescent="0.2">
      <c r="A1282" s="2">
        <v>44440</v>
      </c>
      <c r="B1282" s="3">
        <v>1756.66</v>
      </c>
      <c r="C1282" s="2">
        <v>44439</v>
      </c>
      <c r="D1282" s="3">
        <v>4522.68</v>
      </c>
      <c r="G1282">
        <f t="shared" si="39"/>
        <v>10</v>
      </c>
      <c r="H1282">
        <f t="shared" si="40"/>
        <v>10</v>
      </c>
    </row>
    <row r="1283" spans="1:8" x14ac:dyDescent="0.2">
      <c r="A1283" s="2">
        <v>44470</v>
      </c>
      <c r="B1283" s="3">
        <v>1783.9</v>
      </c>
      <c r="C1283" s="2">
        <v>44469</v>
      </c>
      <c r="D1283" s="3">
        <v>4307.54</v>
      </c>
      <c r="G1283">
        <f t="shared" ref="G1283:G1333" si="41">IF(AND(A1283&gt;=DATE(1973,1,1), A1283&lt;=DATE(1982,12,31)), 10000, 10)</f>
        <v>10</v>
      </c>
      <c r="H1283">
        <f t="shared" ref="H1283:H1333" si="42">IF(AND(A1283&gt;=DATE(1983,1,1), A1283&lt;=DATE(2007,12,31)), 10000, 10)</f>
        <v>10</v>
      </c>
    </row>
    <row r="1284" spans="1:8" x14ac:dyDescent="0.2">
      <c r="A1284" s="2">
        <v>44501</v>
      </c>
      <c r="B1284" s="3">
        <v>1775.92</v>
      </c>
      <c r="C1284" s="2">
        <v>44498</v>
      </c>
      <c r="D1284" s="3">
        <v>4605.38</v>
      </c>
      <c r="G1284">
        <f t="shared" si="41"/>
        <v>10</v>
      </c>
      <c r="H1284">
        <f t="shared" si="42"/>
        <v>10</v>
      </c>
    </row>
    <row r="1285" spans="1:8" x14ac:dyDescent="0.2">
      <c r="A1285" s="2">
        <v>44531</v>
      </c>
      <c r="B1285" s="3">
        <v>1828.6</v>
      </c>
      <c r="C1285" s="2">
        <v>44530</v>
      </c>
      <c r="D1285" s="3">
        <v>4567</v>
      </c>
      <c r="G1285">
        <f t="shared" si="41"/>
        <v>10</v>
      </c>
      <c r="H1285">
        <f t="shared" si="42"/>
        <v>10</v>
      </c>
    </row>
    <row r="1286" spans="1:8" x14ac:dyDescent="0.2">
      <c r="A1286" s="2">
        <v>44562</v>
      </c>
      <c r="B1286" s="3">
        <v>1796.12</v>
      </c>
      <c r="C1286" s="2">
        <v>44561</v>
      </c>
      <c r="D1286" s="3">
        <v>4766.18</v>
      </c>
      <c r="G1286">
        <f t="shared" si="41"/>
        <v>10</v>
      </c>
      <c r="H1286">
        <f t="shared" si="42"/>
        <v>10</v>
      </c>
    </row>
    <row r="1287" spans="1:8" x14ac:dyDescent="0.2">
      <c r="A1287" s="2">
        <v>44593</v>
      </c>
      <c r="B1287" s="3">
        <v>1900.7</v>
      </c>
      <c r="C1287" s="2">
        <v>44592</v>
      </c>
      <c r="D1287" s="3">
        <v>4515.55</v>
      </c>
      <c r="G1287">
        <f t="shared" si="41"/>
        <v>10</v>
      </c>
      <c r="H1287">
        <f t="shared" si="42"/>
        <v>10</v>
      </c>
    </row>
    <row r="1288" spans="1:8" x14ac:dyDescent="0.2">
      <c r="A1288" s="2">
        <v>44621</v>
      </c>
      <c r="B1288" s="3">
        <v>1953.04</v>
      </c>
      <c r="C1288" s="2">
        <v>44620</v>
      </c>
      <c r="D1288" s="3">
        <v>4373.9399999999996</v>
      </c>
      <c r="G1288">
        <f t="shared" si="41"/>
        <v>10</v>
      </c>
      <c r="H1288">
        <f t="shared" si="42"/>
        <v>10</v>
      </c>
    </row>
    <row r="1289" spans="1:8" x14ac:dyDescent="0.2">
      <c r="A1289" s="2">
        <v>44652</v>
      </c>
      <c r="B1289" s="3">
        <v>1911.7</v>
      </c>
      <c r="C1289" s="2">
        <v>44651</v>
      </c>
      <c r="D1289" s="3">
        <v>4530.41</v>
      </c>
      <c r="G1289">
        <f t="shared" si="41"/>
        <v>10</v>
      </c>
      <c r="H1289">
        <f t="shared" si="42"/>
        <v>10</v>
      </c>
    </row>
    <row r="1290" spans="1:8" x14ac:dyDescent="0.2">
      <c r="A1290" s="2">
        <v>44682</v>
      </c>
      <c r="B1290" s="3">
        <v>1847.26</v>
      </c>
      <c r="C1290" s="2">
        <v>44680</v>
      </c>
      <c r="D1290" s="3">
        <v>4131.93</v>
      </c>
      <c r="G1290">
        <f t="shared" si="41"/>
        <v>10</v>
      </c>
      <c r="H1290">
        <f t="shared" si="42"/>
        <v>10</v>
      </c>
    </row>
    <row r="1291" spans="1:8" x14ac:dyDescent="0.2">
      <c r="A1291" s="2">
        <v>44713</v>
      </c>
      <c r="B1291" s="3">
        <v>1817.4548</v>
      </c>
      <c r="C1291" s="2">
        <v>44712</v>
      </c>
      <c r="D1291" s="3">
        <v>4132.1499999999996</v>
      </c>
      <c r="G1291">
        <f t="shared" si="41"/>
        <v>10</v>
      </c>
      <c r="H1291">
        <f t="shared" si="42"/>
        <v>10</v>
      </c>
    </row>
    <row r="1292" spans="1:8" x14ac:dyDescent="0.2">
      <c r="A1292" s="2">
        <v>44743</v>
      </c>
      <c r="B1292" s="3">
        <v>1766.4309000000001</v>
      </c>
      <c r="C1292" s="2">
        <v>44742</v>
      </c>
      <c r="D1292" s="3">
        <v>3785.38</v>
      </c>
      <c r="G1292">
        <f t="shared" si="41"/>
        <v>10</v>
      </c>
      <c r="H1292">
        <f t="shared" si="42"/>
        <v>10</v>
      </c>
    </row>
    <row r="1293" spans="1:8" x14ac:dyDescent="0.2">
      <c r="A1293" s="2">
        <v>44774</v>
      </c>
      <c r="B1293" s="3">
        <v>1708.58</v>
      </c>
      <c r="C1293" s="2">
        <v>44771</v>
      </c>
      <c r="D1293" s="3">
        <v>4130.29</v>
      </c>
      <c r="G1293">
        <f t="shared" si="41"/>
        <v>10</v>
      </c>
      <c r="H1293">
        <f t="shared" si="42"/>
        <v>10</v>
      </c>
    </row>
    <row r="1294" spans="1:8" x14ac:dyDescent="0.2">
      <c r="A1294" s="2">
        <v>44805</v>
      </c>
      <c r="B1294" s="3">
        <v>1660.8798999999999</v>
      </c>
      <c r="C1294" s="2">
        <v>44804</v>
      </c>
      <c r="D1294" s="3">
        <v>3955</v>
      </c>
      <c r="G1294">
        <f t="shared" si="41"/>
        <v>10</v>
      </c>
      <c r="H1294">
        <f t="shared" si="42"/>
        <v>10</v>
      </c>
    </row>
    <row r="1295" spans="1:8" x14ac:dyDescent="0.2">
      <c r="A1295" s="2">
        <v>44835</v>
      </c>
      <c r="B1295" s="3">
        <v>1632.38</v>
      </c>
      <c r="C1295" s="2">
        <v>44834</v>
      </c>
      <c r="D1295" s="3">
        <v>3585.62</v>
      </c>
      <c r="G1295">
        <f t="shared" si="41"/>
        <v>10</v>
      </c>
      <c r="H1295">
        <f t="shared" si="42"/>
        <v>10</v>
      </c>
    </row>
    <row r="1296" spans="1:8" x14ac:dyDescent="0.2">
      <c r="A1296" s="2">
        <v>44866</v>
      </c>
      <c r="B1296" s="3">
        <v>1768.61</v>
      </c>
      <c r="C1296" s="2">
        <v>44865</v>
      </c>
      <c r="D1296" s="3">
        <v>3871.98</v>
      </c>
      <c r="G1296">
        <f t="shared" si="41"/>
        <v>10</v>
      </c>
      <c r="H1296">
        <f t="shared" si="42"/>
        <v>10</v>
      </c>
    </row>
    <row r="1297" spans="1:8" x14ac:dyDescent="0.2">
      <c r="A1297" s="2">
        <v>44896</v>
      </c>
      <c r="B1297" s="3">
        <v>1824.3233</v>
      </c>
      <c r="C1297" s="2">
        <v>44895</v>
      </c>
      <c r="D1297" s="3">
        <v>4080.11</v>
      </c>
      <c r="G1297">
        <f t="shared" si="41"/>
        <v>10</v>
      </c>
      <c r="H1297">
        <f t="shared" si="42"/>
        <v>10</v>
      </c>
    </row>
    <row r="1298" spans="1:8" x14ac:dyDescent="0.2">
      <c r="A1298" s="2">
        <v>44927</v>
      </c>
      <c r="B1298" s="3">
        <v>1928.1201000000001</v>
      </c>
      <c r="C1298" s="2">
        <v>44926</v>
      </c>
      <c r="D1298" s="3">
        <v>3839.5</v>
      </c>
      <c r="G1298">
        <f t="shared" si="41"/>
        <v>10</v>
      </c>
      <c r="H1298">
        <f t="shared" si="42"/>
        <v>10</v>
      </c>
    </row>
    <row r="1299" spans="1:8" x14ac:dyDescent="0.2">
      <c r="A1299" s="2">
        <v>44958</v>
      </c>
      <c r="B1299" s="3">
        <v>1826.7403999999999</v>
      </c>
      <c r="C1299" s="2">
        <v>44957</v>
      </c>
      <c r="D1299" s="3">
        <v>4076.6</v>
      </c>
      <c r="G1299">
        <f t="shared" si="41"/>
        <v>10</v>
      </c>
      <c r="H1299">
        <f t="shared" si="42"/>
        <v>10</v>
      </c>
    </row>
    <row r="1300" spans="1:8" x14ac:dyDescent="0.2">
      <c r="A1300" s="2">
        <v>44986</v>
      </c>
      <c r="B1300" s="3">
        <v>1969.5459000000001</v>
      </c>
      <c r="C1300" s="2">
        <v>44985</v>
      </c>
      <c r="D1300" s="3">
        <v>3970.15</v>
      </c>
      <c r="G1300">
        <f t="shared" si="41"/>
        <v>10</v>
      </c>
      <c r="H1300">
        <f t="shared" si="42"/>
        <v>10</v>
      </c>
    </row>
    <row r="1301" spans="1:8" x14ac:dyDescent="0.2">
      <c r="A1301" s="2">
        <v>45017</v>
      </c>
      <c r="B1301" s="3">
        <v>1990.6</v>
      </c>
      <c r="C1301" s="2">
        <v>45016</v>
      </c>
      <c r="D1301" s="3">
        <v>4109.3100000000004</v>
      </c>
      <c r="G1301">
        <f t="shared" si="41"/>
        <v>10</v>
      </c>
      <c r="H1301">
        <f t="shared" si="42"/>
        <v>10</v>
      </c>
    </row>
    <row r="1302" spans="1:8" x14ac:dyDescent="0.2">
      <c r="A1302" s="2">
        <v>45047</v>
      </c>
      <c r="B1302" s="3">
        <v>1965.2</v>
      </c>
      <c r="C1302" s="2">
        <v>45044</v>
      </c>
      <c r="D1302" s="3">
        <v>4169.4799999999996</v>
      </c>
      <c r="G1302">
        <f t="shared" si="41"/>
        <v>10</v>
      </c>
      <c r="H1302">
        <f t="shared" si="42"/>
        <v>10</v>
      </c>
    </row>
    <row r="1303" spans="1:8" x14ac:dyDescent="0.2">
      <c r="A1303" s="2">
        <v>45078</v>
      </c>
      <c r="B1303" s="3">
        <v>1919.5693000000001</v>
      </c>
      <c r="C1303" s="2">
        <v>45077</v>
      </c>
      <c r="D1303" s="3">
        <v>4179.83</v>
      </c>
      <c r="G1303">
        <f t="shared" si="41"/>
        <v>10</v>
      </c>
      <c r="H1303">
        <f t="shared" si="42"/>
        <v>10</v>
      </c>
    </row>
    <row r="1304" spans="1:8" x14ac:dyDescent="0.2">
      <c r="A1304" s="2">
        <v>45108</v>
      </c>
      <c r="B1304" s="3">
        <v>1964.3387</v>
      </c>
      <c r="C1304" s="2">
        <v>45107</v>
      </c>
      <c r="D1304" s="3">
        <v>4450.38</v>
      </c>
      <c r="G1304">
        <f t="shared" si="41"/>
        <v>10</v>
      </c>
      <c r="H1304">
        <f t="shared" si="42"/>
        <v>10</v>
      </c>
    </row>
    <row r="1305" spans="1:8" x14ac:dyDescent="0.2">
      <c r="A1305" s="2">
        <v>45139</v>
      </c>
      <c r="B1305" s="3">
        <v>1939.8280999999999</v>
      </c>
      <c r="C1305" s="2">
        <v>45138</v>
      </c>
      <c r="D1305" s="3">
        <v>4588.96</v>
      </c>
      <c r="G1305">
        <f t="shared" si="41"/>
        <v>10</v>
      </c>
      <c r="H1305">
        <f t="shared" si="42"/>
        <v>10</v>
      </c>
    </row>
    <row r="1306" spans="1:8" x14ac:dyDescent="0.2">
      <c r="A1306" s="2">
        <v>45170</v>
      </c>
      <c r="B1306" s="3">
        <v>1848.4898000000001</v>
      </c>
      <c r="C1306" s="2">
        <v>45169</v>
      </c>
      <c r="D1306" s="3">
        <v>4507.66</v>
      </c>
      <c r="G1306">
        <f t="shared" si="41"/>
        <v>10</v>
      </c>
      <c r="H1306">
        <f t="shared" si="42"/>
        <v>10</v>
      </c>
    </row>
    <row r="1307" spans="1:8" x14ac:dyDescent="0.2">
      <c r="A1307" s="2">
        <v>45200</v>
      </c>
      <c r="B1307" s="3">
        <v>1984.0109</v>
      </c>
      <c r="C1307" s="2">
        <v>45198</v>
      </c>
      <c r="D1307" s="3">
        <v>4288.05</v>
      </c>
      <c r="G1307">
        <f t="shared" si="41"/>
        <v>10</v>
      </c>
      <c r="H1307">
        <f t="shared" si="42"/>
        <v>10</v>
      </c>
    </row>
    <row r="1308" spans="1:8" x14ac:dyDescent="0.2">
      <c r="A1308" s="2">
        <v>45231</v>
      </c>
      <c r="B1308" s="3">
        <v>2044.8957</v>
      </c>
      <c r="C1308" s="2">
        <v>45230</v>
      </c>
      <c r="D1308" s="3">
        <v>4193.8</v>
      </c>
      <c r="G1308">
        <f t="shared" si="41"/>
        <v>10</v>
      </c>
      <c r="H1308">
        <f t="shared" si="42"/>
        <v>10</v>
      </c>
    </row>
    <row r="1309" spans="1:8" x14ac:dyDescent="0.2">
      <c r="A1309" s="2">
        <v>45261</v>
      </c>
      <c r="B1309" s="3">
        <v>2062.9232999999999</v>
      </c>
      <c r="C1309" s="2">
        <v>45260</v>
      </c>
      <c r="D1309" s="3">
        <v>4567.8</v>
      </c>
      <c r="G1309">
        <f t="shared" si="41"/>
        <v>10</v>
      </c>
      <c r="H1309">
        <f t="shared" si="42"/>
        <v>10</v>
      </c>
    </row>
    <row r="1310" spans="1:8" x14ac:dyDescent="0.2">
      <c r="A1310" s="2">
        <v>45292</v>
      </c>
      <c r="B1310" s="3">
        <v>2039.1538</v>
      </c>
      <c r="C1310" s="2">
        <v>45289</v>
      </c>
      <c r="D1310" s="3">
        <v>4769.83</v>
      </c>
      <c r="G1310">
        <f t="shared" si="41"/>
        <v>10</v>
      </c>
      <c r="H1310">
        <f t="shared" si="42"/>
        <v>10</v>
      </c>
    </row>
    <row r="1311" spans="1:8" x14ac:dyDescent="0.2">
      <c r="A1311" s="2">
        <v>45323</v>
      </c>
      <c r="B1311" s="3">
        <v>2044.1996999999999</v>
      </c>
      <c r="C1311" s="2">
        <v>45322</v>
      </c>
      <c r="D1311" s="3">
        <v>4845.6499999999996</v>
      </c>
      <c r="G1311">
        <f t="shared" si="41"/>
        <v>10</v>
      </c>
      <c r="H1311">
        <f t="shared" si="42"/>
        <v>10</v>
      </c>
    </row>
    <row r="1312" spans="1:8" x14ac:dyDescent="0.2">
      <c r="A1312" s="2">
        <v>45352</v>
      </c>
      <c r="B1312" s="3">
        <v>2231.5551</v>
      </c>
      <c r="C1312" s="2">
        <v>45351</v>
      </c>
      <c r="D1312" s="3">
        <v>5096.2700000000004</v>
      </c>
      <c r="G1312">
        <f t="shared" si="41"/>
        <v>10</v>
      </c>
      <c r="H1312">
        <f t="shared" si="42"/>
        <v>10</v>
      </c>
    </row>
    <row r="1313" spans="1:8" x14ac:dyDescent="0.2">
      <c r="A1313" s="2">
        <v>45383</v>
      </c>
      <c r="B1313" s="3">
        <v>2285.9886000000001</v>
      </c>
      <c r="C1313" s="2">
        <v>45379</v>
      </c>
      <c r="D1313" s="3">
        <v>5254.35</v>
      </c>
      <c r="G1313">
        <f t="shared" si="41"/>
        <v>10</v>
      </c>
      <c r="H1313">
        <f t="shared" si="42"/>
        <v>10</v>
      </c>
    </row>
    <row r="1314" spans="1:8" x14ac:dyDescent="0.2">
      <c r="A1314" s="2">
        <v>45413</v>
      </c>
      <c r="B1314" s="3">
        <v>2327.2836000000002</v>
      </c>
      <c r="C1314" s="2">
        <v>45412</v>
      </c>
      <c r="D1314" s="3">
        <v>5035.6899999999996</v>
      </c>
      <c r="G1314">
        <f t="shared" si="41"/>
        <v>10</v>
      </c>
      <c r="H1314">
        <f t="shared" si="42"/>
        <v>10</v>
      </c>
    </row>
    <row r="1315" spans="1:8" x14ac:dyDescent="0.2">
      <c r="A1315" s="2">
        <v>45444</v>
      </c>
      <c r="B1315" s="3">
        <v>2326.7177000000001</v>
      </c>
      <c r="C1315" s="2">
        <v>45443</v>
      </c>
      <c r="D1315" s="3">
        <v>5277.51</v>
      </c>
      <c r="G1315">
        <f t="shared" si="41"/>
        <v>10</v>
      </c>
      <c r="H1315">
        <f t="shared" si="42"/>
        <v>10</v>
      </c>
    </row>
    <row r="1316" spans="1:8" x14ac:dyDescent="0.2">
      <c r="A1316" s="2">
        <v>45474</v>
      </c>
      <c r="B1316" s="3">
        <v>2409.6864999999998</v>
      </c>
      <c r="C1316" s="2">
        <v>45471</v>
      </c>
      <c r="D1316" s="3">
        <v>5460.48</v>
      </c>
      <c r="G1316">
        <f t="shared" si="41"/>
        <v>10</v>
      </c>
      <c r="H1316">
        <f t="shared" si="42"/>
        <v>10</v>
      </c>
    </row>
    <row r="1317" spans="1:8" x14ac:dyDescent="0.2">
      <c r="A1317" s="2">
        <v>45505</v>
      </c>
      <c r="B1317" s="3">
        <v>2503.3796000000002</v>
      </c>
      <c r="C1317" s="2">
        <v>45504</v>
      </c>
      <c r="D1317" s="3">
        <v>5522.3</v>
      </c>
      <c r="G1317">
        <f t="shared" si="41"/>
        <v>10</v>
      </c>
      <c r="H1317">
        <f t="shared" si="42"/>
        <v>10</v>
      </c>
    </row>
    <row r="1318" spans="1:8" x14ac:dyDescent="0.2">
      <c r="A1318" s="2">
        <v>45536</v>
      </c>
      <c r="B1318" s="3">
        <v>2664.4142999999999</v>
      </c>
      <c r="C1318" s="2">
        <v>45534</v>
      </c>
      <c r="D1318" s="3">
        <v>5648.4</v>
      </c>
      <c r="G1318">
        <f t="shared" si="41"/>
        <v>10</v>
      </c>
      <c r="H1318">
        <f t="shared" si="42"/>
        <v>10</v>
      </c>
    </row>
    <row r="1319" spans="1:8" x14ac:dyDescent="0.2">
      <c r="A1319" s="2">
        <v>45566</v>
      </c>
      <c r="B1319" s="3">
        <v>2746.7019</v>
      </c>
      <c r="C1319" s="2">
        <v>45565</v>
      </c>
      <c r="D1319" s="3">
        <v>5762.48</v>
      </c>
      <c r="G1319">
        <f t="shared" si="41"/>
        <v>10</v>
      </c>
      <c r="H1319">
        <f t="shared" si="42"/>
        <v>10</v>
      </c>
    </row>
    <row r="1320" spans="1:8" x14ac:dyDescent="0.2">
      <c r="A1320" s="2">
        <v>45597</v>
      </c>
      <c r="B1320" s="3">
        <v>2651.2469999999998</v>
      </c>
      <c r="C1320" s="2">
        <v>45596</v>
      </c>
      <c r="D1320" s="3">
        <v>5705.45</v>
      </c>
      <c r="G1320">
        <f t="shared" si="41"/>
        <v>10</v>
      </c>
      <c r="H1320">
        <f t="shared" si="42"/>
        <v>10</v>
      </c>
    </row>
    <row r="1321" spans="1:8" x14ac:dyDescent="0.2">
      <c r="A1321" s="2">
        <v>45627</v>
      </c>
      <c r="B1321" s="3">
        <v>2624.6030000000001</v>
      </c>
      <c r="C1321" s="2">
        <v>45625</v>
      </c>
      <c r="D1321" s="3">
        <v>6032.38</v>
      </c>
      <c r="G1321">
        <f t="shared" si="41"/>
        <v>10</v>
      </c>
      <c r="H1321">
        <f t="shared" si="42"/>
        <v>10</v>
      </c>
    </row>
    <row r="1322" spans="1:8" x14ac:dyDescent="0.2">
      <c r="A1322" s="2">
        <v>45658</v>
      </c>
      <c r="B1322" s="3">
        <v>2798.1968000000002</v>
      </c>
      <c r="C1322" s="2">
        <v>45657</v>
      </c>
      <c r="D1322" s="3">
        <v>5881.63</v>
      </c>
      <c r="G1322">
        <f t="shared" si="41"/>
        <v>10</v>
      </c>
      <c r="H1322">
        <f t="shared" si="42"/>
        <v>10</v>
      </c>
    </row>
    <row r="1323" spans="1:8" x14ac:dyDescent="0.2">
      <c r="A1323" s="2">
        <v>45689</v>
      </c>
      <c r="B1323" s="3">
        <v>2876.2080000000001</v>
      </c>
      <c r="C1323" s="2">
        <v>45688</v>
      </c>
      <c r="D1323" s="3">
        <v>6040.53</v>
      </c>
      <c r="G1323">
        <f t="shared" si="41"/>
        <v>10</v>
      </c>
      <c r="H1323">
        <f t="shared" si="42"/>
        <v>10</v>
      </c>
    </row>
    <row r="1324" spans="1:8" x14ac:dyDescent="0.2">
      <c r="A1324" s="2">
        <v>45717</v>
      </c>
      <c r="B1324" s="3">
        <v>3086.3434999999999</v>
      </c>
      <c r="C1324" s="2">
        <v>45716</v>
      </c>
      <c r="D1324" s="3">
        <v>5954.5</v>
      </c>
      <c r="G1324">
        <f t="shared" si="41"/>
        <v>10</v>
      </c>
      <c r="H1324">
        <f t="shared" si="42"/>
        <v>10</v>
      </c>
    </row>
    <row r="1325" spans="1:8" x14ac:dyDescent="0.2">
      <c r="A1325" s="2">
        <v>45748</v>
      </c>
      <c r="B1325" s="3">
        <v>3273.5046000000002</v>
      </c>
      <c r="C1325" s="2">
        <v>45747</v>
      </c>
      <c r="D1325" s="3">
        <v>5611.85</v>
      </c>
      <c r="G1325">
        <f t="shared" si="41"/>
        <v>10</v>
      </c>
      <c r="H1325">
        <f t="shared" si="42"/>
        <v>10</v>
      </c>
    </row>
    <row r="1326" spans="1:8" x14ac:dyDescent="0.2">
      <c r="A1326" s="2">
        <v>45778</v>
      </c>
      <c r="B1326" s="3">
        <v>3289.5547999999999</v>
      </c>
      <c r="C1326" s="2">
        <v>45777</v>
      </c>
      <c r="D1326" s="3">
        <v>5569.06</v>
      </c>
      <c r="G1326">
        <f t="shared" si="41"/>
        <v>10</v>
      </c>
      <c r="H1326">
        <f t="shared" si="42"/>
        <v>10</v>
      </c>
    </row>
    <row r="1327" spans="1:8" x14ac:dyDescent="0.2">
      <c r="A1327" s="2">
        <v>45809</v>
      </c>
      <c r="B1327" s="3">
        <v>3266.4101000000001</v>
      </c>
      <c r="C1327" s="2">
        <v>45807</v>
      </c>
      <c r="D1327" s="3">
        <v>5911.69</v>
      </c>
      <c r="G1327">
        <f t="shared" si="41"/>
        <v>10</v>
      </c>
      <c r="H1327">
        <f t="shared" si="42"/>
        <v>10</v>
      </c>
    </row>
    <row r="1328" spans="1:8" x14ac:dyDescent="0.2">
      <c r="A1328" s="2">
        <v>45839</v>
      </c>
      <c r="B1328" s="3">
        <v>3285.7772</v>
      </c>
      <c r="C1328" s="2">
        <v>45838</v>
      </c>
      <c r="D1328" s="3">
        <v>6204.95</v>
      </c>
      <c r="G1328">
        <f t="shared" si="41"/>
        <v>10</v>
      </c>
      <c r="H1328">
        <f t="shared" si="42"/>
        <v>10</v>
      </c>
    </row>
    <row r="1329" spans="1:8" x14ac:dyDescent="0.2">
      <c r="A1329" s="2">
        <v>45870</v>
      </c>
      <c r="B1329" s="3">
        <v>3415.7671999999998</v>
      </c>
      <c r="C1329" s="2">
        <v>45869</v>
      </c>
      <c r="D1329" s="3">
        <v>6339.39</v>
      </c>
      <c r="G1329">
        <f t="shared" si="41"/>
        <v>10</v>
      </c>
      <c r="H1329">
        <f t="shared" si="42"/>
        <v>10</v>
      </c>
    </row>
    <row r="1330" spans="1:8" x14ac:dyDescent="0.2">
      <c r="A1330" s="2">
        <v>45901</v>
      </c>
      <c r="B1330" s="3">
        <v>3836.2341999999999</v>
      </c>
      <c r="C1330" s="2">
        <v>45898</v>
      </c>
      <c r="D1330" s="3">
        <v>6460.26</v>
      </c>
      <c r="G1330">
        <f t="shared" si="41"/>
        <v>10</v>
      </c>
      <c r="H1330">
        <f t="shared" si="42"/>
        <v>10</v>
      </c>
    </row>
    <row r="1331" spans="1:8" x14ac:dyDescent="0.2">
      <c r="A1331" s="2">
        <v>45931</v>
      </c>
      <c r="B1331" s="3">
        <v>4002.7698999999998</v>
      </c>
      <c r="C1331" s="2">
        <v>45930</v>
      </c>
      <c r="D1331" s="3">
        <v>6688.46</v>
      </c>
      <c r="G1331">
        <f t="shared" si="41"/>
        <v>10</v>
      </c>
      <c r="H1331">
        <f t="shared" si="42"/>
        <v>10</v>
      </c>
    </row>
    <row r="1332" spans="1:8" x14ac:dyDescent="0.2">
      <c r="A1332" s="2">
        <v>45962</v>
      </c>
      <c r="B1332" s="3">
        <v>4001.2804000000001</v>
      </c>
      <c r="C1332" s="2">
        <v>45961</v>
      </c>
      <c r="D1332" s="3">
        <v>6840.2</v>
      </c>
      <c r="G1332">
        <f t="shared" si="41"/>
        <v>10</v>
      </c>
      <c r="H1332">
        <f t="shared" si="42"/>
        <v>10</v>
      </c>
    </row>
    <row r="1333" spans="1:8" x14ac:dyDescent="0.2">
      <c r="C1333" s="2">
        <v>45968</v>
      </c>
      <c r="D1333" s="3">
        <v>6728.8</v>
      </c>
      <c r="G1333">
        <f t="shared" si="41"/>
        <v>10</v>
      </c>
      <c r="H1333">
        <f t="shared" si="42"/>
        <v>10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80BD-7502-704F-92CE-0D03018A8790}">
  <dimension ref="A1:L659"/>
  <sheetViews>
    <sheetView tabSelected="1" zoomScale="125" workbookViewId="0">
      <selection activeCell="G12" sqref="A1:XFD1048576"/>
    </sheetView>
  </sheetViews>
  <sheetFormatPr baseColWidth="10" defaultRowHeight="16" x14ac:dyDescent="0.2"/>
  <cols>
    <col min="5" max="5" width="14.6640625" bestFit="1" customWidth="1"/>
  </cols>
  <sheetData>
    <row r="1" spans="1:12" x14ac:dyDescent="0.2">
      <c r="A1" s="1" t="s">
        <v>0</v>
      </c>
      <c r="B1" s="1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spans="1:12" ht="17" x14ac:dyDescent="0.25">
      <c r="A2" s="2">
        <v>25990</v>
      </c>
      <c r="B2" s="3">
        <v>101.34</v>
      </c>
      <c r="C2">
        <f t="shared" ref="C2:C65" si="0">YEAR(A2)</f>
        <v>1971</v>
      </c>
      <c r="D2">
        <f t="shared" ref="D2:D65" si="1">MONTH(A2)</f>
        <v>2</v>
      </c>
      <c r="E2" s="7"/>
    </row>
    <row r="3" spans="1:12" ht="17" x14ac:dyDescent="0.25">
      <c r="A3" s="2">
        <v>26023</v>
      </c>
      <c r="B3" s="3">
        <v>105.97</v>
      </c>
      <c r="C3">
        <f t="shared" si="0"/>
        <v>1971</v>
      </c>
      <c r="D3">
        <f t="shared" si="1"/>
        <v>3</v>
      </c>
      <c r="E3" s="7"/>
    </row>
    <row r="4" spans="1:12" ht="17" x14ac:dyDescent="0.25">
      <c r="A4" s="2">
        <v>26053</v>
      </c>
      <c r="B4" s="3">
        <v>112.3</v>
      </c>
      <c r="C4">
        <f t="shared" si="0"/>
        <v>1971</v>
      </c>
      <c r="D4">
        <f t="shared" si="1"/>
        <v>4</v>
      </c>
      <c r="E4" s="7"/>
    </row>
    <row r="5" spans="1:12" ht="17" x14ac:dyDescent="0.25">
      <c r="A5" s="2">
        <v>26081</v>
      </c>
      <c r="B5" s="3">
        <v>108.25</v>
      </c>
      <c r="C5">
        <f t="shared" si="0"/>
        <v>1971</v>
      </c>
      <c r="D5">
        <f t="shared" si="1"/>
        <v>5</v>
      </c>
      <c r="E5" s="7"/>
      <c r="I5" s="4" t="s">
        <v>15</v>
      </c>
      <c r="J5" s="4" t="s">
        <v>16</v>
      </c>
      <c r="K5" s="4" t="s">
        <v>17</v>
      </c>
      <c r="L5" s="4" t="s">
        <v>18</v>
      </c>
    </row>
    <row r="6" spans="1:12" ht="17" x14ac:dyDescent="0.25">
      <c r="A6" s="2">
        <v>26114</v>
      </c>
      <c r="B6" s="3">
        <v>107.8</v>
      </c>
      <c r="C6">
        <f t="shared" si="0"/>
        <v>1971</v>
      </c>
      <c r="D6">
        <f t="shared" si="1"/>
        <v>6</v>
      </c>
      <c r="E6" s="7"/>
      <c r="I6">
        <v>1</v>
      </c>
      <c r="J6" s="7" cm="1">
        <f t="array" ref="J6">MIN(IF(($D:$D = I6)  * ($F:$F &lt;&gt; ""), $F:$F))</f>
        <v>0.90105871174989061</v>
      </c>
      <c r="K6" s="7" cm="1">
        <f t="array" ref="K6">MAX(IF(($D:$D = I6)  * ($F:$F &lt;&gt; ""), $F:$F))</f>
        <v>1.1664994984954864</v>
      </c>
      <c r="L6" s="7" cm="1">
        <f t="array" ref="L6">MEDIAN(IF(($D:$D = I6)  * ($F:$F &lt;&gt; ""), $F:$F))</f>
        <v>1.0291822034316889</v>
      </c>
    </row>
    <row r="7" spans="1:12" ht="17" x14ac:dyDescent="0.25">
      <c r="A7" s="2">
        <v>26144</v>
      </c>
      <c r="B7" s="3">
        <v>105.27</v>
      </c>
      <c r="C7">
        <f t="shared" si="0"/>
        <v>1971</v>
      </c>
      <c r="D7">
        <f t="shared" si="1"/>
        <v>7</v>
      </c>
      <c r="E7" s="7"/>
      <c r="I7">
        <v>2</v>
      </c>
      <c r="J7" s="7" cm="1">
        <f t="array" ref="J7">MIN(IF(($D:$D = I7)  * ($F:$F &lt;&gt; ""), $F:$F))</f>
        <v>0.85642541511454295</v>
      </c>
      <c r="K7" s="7" cm="1">
        <f t="array" ref="K7">MAX(IF(($D:$D = I7)  * ($F:$F &lt;&gt; ""), $F:$F))</f>
        <v>1.2203276496155131</v>
      </c>
      <c r="L7" s="7" cm="1">
        <f t="array" ref="L7">MEDIAN(IF(($D:$D = I7)  * ($F:$F &lt;&gt; ""), $F:$F))</f>
        <v>1.0366569996540318</v>
      </c>
    </row>
    <row r="8" spans="1:12" ht="17" x14ac:dyDescent="0.25">
      <c r="A8" s="2">
        <v>26176</v>
      </c>
      <c r="B8" s="3">
        <v>108.42</v>
      </c>
      <c r="C8">
        <f t="shared" si="0"/>
        <v>1971</v>
      </c>
      <c r="D8">
        <f t="shared" si="1"/>
        <v>8</v>
      </c>
      <c r="E8" s="7"/>
      <c r="I8">
        <v>3</v>
      </c>
      <c r="J8" s="7" cm="1">
        <f t="array" ref="J8">MIN(IF(($D:$D = I8)  * ($F:$F &lt;&gt; ""), $F:$F))</f>
        <v>0.74488771594644043</v>
      </c>
      <c r="K8" s="7" cm="1">
        <f t="array" ref="K8">MAX(IF(($D:$D = I8)  * ($F:$F &lt;&gt; ""), $F:$F))</f>
        <v>1.2902621722846441</v>
      </c>
      <c r="L8" s="7" cm="1">
        <f t="array" ref="L8">MEDIAN(IF(($D:$D = I8)  * ($F:$F &lt;&gt; ""), $F:$F))</f>
        <v>1.0322650220038936</v>
      </c>
    </row>
    <row r="9" spans="1:12" ht="17" x14ac:dyDescent="0.25">
      <c r="A9" s="2">
        <v>26206</v>
      </c>
      <c r="B9" s="3">
        <v>109.03</v>
      </c>
      <c r="C9">
        <f t="shared" si="0"/>
        <v>1971</v>
      </c>
      <c r="D9">
        <f t="shared" si="1"/>
        <v>9</v>
      </c>
      <c r="E9" s="7"/>
      <c r="I9">
        <v>4</v>
      </c>
      <c r="J9" s="7" cm="1">
        <f t="array" ref="J9">MIN(IF(($D:$D = I9)  * ($F:$F &lt;&gt; ""), $F:$F))</f>
        <v>0.78840930982929336</v>
      </c>
      <c r="K9" s="7" cm="1">
        <f t="array" ref="K9">MAX(IF(($D:$D = I9)  * ($F:$F &lt;&gt; ""), $F:$F))</f>
        <v>1.3129388164493481</v>
      </c>
      <c r="L9" s="7" cm="1">
        <f t="array" ref="L9">MEDIAN(IF(($D:$D = I9)  * ($F:$F &lt;&gt; ""), $F:$F))</f>
        <v>1.0621671147213034</v>
      </c>
    </row>
    <row r="10" spans="1:12" ht="17" x14ac:dyDescent="0.25">
      <c r="A10" s="2">
        <v>26235</v>
      </c>
      <c r="B10" s="3">
        <v>105.1</v>
      </c>
      <c r="C10">
        <f t="shared" si="0"/>
        <v>1971</v>
      </c>
      <c r="D10">
        <f t="shared" si="1"/>
        <v>10</v>
      </c>
      <c r="E10" s="7"/>
      <c r="I10">
        <v>5</v>
      </c>
      <c r="J10" s="7" cm="1">
        <f t="array" ref="J10">MIN(IF(($D:$D = I10)  * ($F:$F &lt;&gt; ""), $F:$F))</f>
        <v>0.76751663800194425</v>
      </c>
      <c r="K10" s="7" cm="1">
        <f t="array" ref="K10">MAX(IF(($D:$D = I10)  * ($F:$F &lt;&gt; ""), $F:$F))</f>
        <v>1.3891675025075225</v>
      </c>
      <c r="L10" s="7" cm="1">
        <f t="array" ref="L10">MEDIAN(IF(($D:$D = I10)  * ($F:$F &lt;&gt; ""), $F:$F))</f>
        <v>1.0781925852611467</v>
      </c>
    </row>
    <row r="11" spans="1:12" ht="17" x14ac:dyDescent="0.25">
      <c r="A11" s="2">
        <v>26267</v>
      </c>
      <c r="B11" s="3">
        <v>103.97</v>
      </c>
      <c r="C11">
        <f t="shared" si="0"/>
        <v>1971</v>
      </c>
      <c r="D11">
        <f t="shared" si="1"/>
        <v>11</v>
      </c>
      <c r="E11" s="7"/>
      <c r="I11">
        <v>6</v>
      </c>
      <c r="J11" s="7" cm="1">
        <f t="array" ref="J11">MIN(IF(($D:$D = I11)  * ($F:$F &lt;&gt; ""), $F:$F))</f>
        <v>0.70493839233951872</v>
      </c>
      <c r="K11" s="7" cm="1">
        <f t="array" ref="K11">MAX(IF(($D:$D = I11)  * ($F:$F &lt;&gt; ""), $F:$F))</f>
        <v>1.4546974256101637</v>
      </c>
      <c r="L11" s="7" cm="1">
        <f t="array" ref="L11">MEDIAN(IF(($D:$D = I11)  * ($F:$F &lt;&gt; ""), $F:$F))</f>
        <v>1.1024533186574796</v>
      </c>
    </row>
    <row r="12" spans="1:12" ht="17" x14ac:dyDescent="0.25">
      <c r="A12" s="2">
        <v>26298</v>
      </c>
      <c r="B12" s="3">
        <v>114.12</v>
      </c>
      <c r="C12">
        <f t="shared" si="0"/>
        <v>1971</v>
      </c>
      <c r="D12">
        <f t="shared" si="1"/>
        <v>12</v>
      </c>
      <c r="E12" s="7"/>
      <c r="I12">
        <v>7</v>
      </c>
      <c r="J12" s="7" cm="1">
        <f t="array" ref="J12">MIN(IF(($D:$D = I12)  * ($F:$F &lt;&gt; ""), $F:$F))</f>
        <v>0.68101927809680063</v>
      </c>
      <c r="K12" s="7" cm="1">
        <f t="array" ref="K12">MAX(IF(($D:$D = I12)  * ($F:$F &lt;&gt; ""), $F:$F))</f>
        <v>1.3906720160481445</v>
      </c>
      <c r="L12" s="7" cm="1">
        <f t="array" ref="L12">MEDIAN(IF(($D:$D = I12)  * ($F:$F &lt;&gt; ""), $F:$F))</f>
        <v>1.1153716573275512</v>
      </c>
    </row>
    <row r="13" spans="1:12" ht="17" x14ac:dyDescent="0.25">
      <c r="A13" s="2">
        <v>26329</v>
      </c>
      <c r="B13" s="3">
        <v>118.87</v>
      </c>
      <c r="C13">
        <f t="shared" si="0"/>
        <v>1972</v>
      </c>
      <c r="D13">
        <f t="shared" si="1"/>
        <v>1</v>
      </c>
      <c r="E13" s="7" cm="1">
        <f t="array" ref="E13">LOOKUP(12, D:D/(C:C = C13 - 1), B:B)</f>
        <v>114.12</v>
      </c>
      <c r="F13">
        <f t="shared" ref="F13:F66" si="2">B13/E13</f>
        <v>1.0416228531370486</v>
      </c>
      <c r="I13">
        <v>8</v>
      </c>
      <c r="J13" s="7" cm="1">
        <f t="array" ref="J13">MIN(IF(($D:$D = I13)  * ($F:$F &lt;&gt; ""), $F:$F))</f>
        <v>0.67414376538146015</v>
      </c>
      <c r="K13" s="7" cm="1">
        <f t="array" ref="K13">MAX(IF(($D:$D = I13)  * ($F:$F &lt;&gt; ""), $F:$F))</f>
        <v>1.4063135366506152</v>
      </c>
      <c r="L13" s="7" cm="1">
        <f t="array" ref="L13">MEDIAN(IF(($D:$D = I13)  * ($F:$F &lt;&gt; ""), $F:$F))</f>
        <v>1.1248895014442242</v>
      </c>
    </row>
    <row r="14" spans="1:12" ht="17" x14ac:dyDescent="0.25">
      <c r="A14" s="2">
        <v>26358</v>
      </c>
      <c r="B14" s="3">
        <v>125.38</v>
      </c>
      <c r="C14">
        <f t="shared" si="0"/>
        <v>1972</v>
      </c>
      <c r="D14">
        <f t="shared" si="1"/>
        <v>2</v>
      </c>
      <c r="E14" s="7" cm="1">
        <f t="array" ref="E14">LOOKUP(12, D:D/(C:C = C14 - 1), B:B)</f>
        <v>114.12</v>
      </c>
      <c r="F14">
        <f t="shared" si="2"/>
        <v>1.0986680686996144</v>
      </c>
      <c r="I14">
        <v>9</v>
      </c>
      <c r="J14" s="7" cm="1">
        <f t="array" ref="J14">MIN(IF(($D:$D = I14)  * ($F:$F &lt;&gt; ""), $F:$F))</f>
        <v>0.60093314191960623</v>
      </c>
      <c r="K14" s="7" cm="1">
        <f t="array" ref="K14">MAX(IF(($D:$D = I14)  * ($F:$F &lt;&gt; ""), $F:$F))</f>
        <v>1.4095238095238094</v>
      </c>
      <c r="L14" s="7" cm="1">
        <f t="array" ref="L14">MEDIAN(IF(($D:$D = I14)  * ($F:$F &lt;&gt; ""), $F:$F))</f>
        <v>1.1305739173571416</v>
      </c>
    </row>
    <row r="15" spans="1:12" ht="17" x14ac:dyDescent="0.25">
      <c r="A15" s="2">
        <v>26388</v>
      </c>
      <c r="B15" s="3">
        <v>128.13999999999999</v>
      </c>
      <c r="C15">
        <f t="shared" si="0"/>
        <v>1972</v>
      </c>
      <c r="D15">
        <f t="shared" si="1"/>
        <v>3</v>
      </c>
      <c r="E15" s="7" cm="1">
        <f t="array" ref="E15">LOOKUP(12, D:D/(C:C = C15 - 1), B:B)</f>
        <v>114.12</v>
      </c>
      <c r="F15">
        <f t="shared" si="2"/>
        <v>1.1228531370487205</v>
      </c>
      <c r="I15">
        <v>10</v>
      </c>
      <c r="J15" s="7" cm="1">
        <f t="array" ref="J15">MIN(IF(($D:$D = I15)  * ($F:$F &lt;&gt; ""), $F:$F))</f>
        <v>0.64885683261194138</v>
      </c>
      <c r="K15" s="7" cm="1">
        <f t="array" ref="K15">MAX(IF(($D:$D = I15)  * ($F:$F &lt;&gt; ""), $F:$F))</f>
        <v>1.4525949705724988</v>
      </c>
      <c r="L15" s="7" cm="1">
        <f t="array" ref="L15">MEDIAN(IF(($D:$D = I15)  * ($F:$F &lt;&gt; ""), $F:$F))</f>
        <v>1.1346386174366816</v>
      </c>
    </row>
    <row r="16" spans="1:12" ht="17" x14ac:dyDescent="0.25">
      <c r="A16" s="2">
        <v>26417</v>
      </c>
      <c r="B16" s="3">
        <v>131.33000000000001</v>
      </c>
      <c r="C16">
        <f t="shared" si="0"/>
        <v>1972</v>
      </c>
      <c r="D16">
        <f t="shared" si="1"/>
        <v>4</v>
      </c>
      <c r="E16" s="7" cm="1">
        <f t="array" ref="E16">LOOKUP(12, D:D/(C:C = C16 - 1), B:B)</f>
        <v>114.12</v>
      </c>
      <c r="F16">
        <f t="shared" si="2"/>
        <v>1.1508061689449702</v>
      </c>
      <c r="I16">
        <v>11</v>
      </c>
      <c r="J16" s="7" cm="1">
        <f t="array" ref="J16">MIN(IF(($D:$D = I16)  * ($F:$F &lt;&gt; ""), $F:$F))</f>
        <v>0.57896225134601165</v>
      </c>
      <c r="K16" s="7" cm="1">
        <f t="array" ref="K16">MAX(IF(($D:$D = I16)  * ($F:$F &lt;&gt; ""), $F:$F))</f>
        <v>1.5214918661552703</v>
      </c>
      <c r="L16" s="7" cm="1">
        <f t="array" ref="L16">MEDIAN(IF(($D:$D = I16)  * ($F:$F &lt;&gt; ""), $F:$F))</f>
        <v>1.135656675583367</v>
      </c>
    </row>
    <row r="17" spans="1:12" ht="17" x14ac:dyDescent="0.25">
      <c r="A17" s="2">
        <v>26450</v>
      </c>
      <c r="B17" s="3">
        <v>132.53</v>
      </c>
      <c r="C17">
        <f t="shared" si="0"/>
        <v>1972</v>
      </c>
      <c r="D17">
        <f t="shared" si="1"/>
        <v>5</v>
      </c>
      <c r="E17" s="7" cm="1">
        <f t="array" ref="E17">LOOKUP(12, D:D/(C:C = C17 - 1), B:B)</f>
        <v>114.12</v>
      </c>
      <c r="F17">
        <f t="shared" si="2"/>
        <v>1.1613214160532772</v>
      </c>
      <c r="I17">
        <v>12</v>
      </c>
      <c r="J17" s="7" cm="1">
        <f t="array" ref="J17">MIN(IF(($D:$D = I17)  * ($F:$F &lt;&gt; ""), $F:$F))</f>
        <v>0.59459408508905542</v>
      </c>
      <c r="K17" s="7" cm="1">
        <f t="array" ref="K17">MAX(IF(($D:$D = I17)  * ($F:$F &lt;&gt; ""), $F:$F))</f>
        <v>1.8558528565369476</v>
      </c>
      <c r="L17" s="7" cm="1">
        <f t="array" ref="L17">MEDIAN(IF(($D:$D = I17)  * ($F:$F &lt;&gt; ""), $F:$F))</f>
        <v>1.154534911484804</v>
      </c>
    </row>
    <row r="18" spans="1:12" ht="17" x14ac:dyDescent="0.25">
      <c r="A18" s="2">
        <v>26480</v>
      </c>
      <c r="B18" s="3">
        <v>130.08000000000001</v>
      </c>
      <c r="C18">
        <f t="shared" si="0"/>
        <v>1972</v>
      </c>
      <c r="D18">
        <f t="shared" si="1"/>
        <v>6</v>
      </c>
      <c r="E18" s="7" cm="1">
        <f t="array" ref="E18">LOOKUP(12, D:D/(C:C = C18 - 1), B:B)</f>
        <v>114.12</v>
      </c>
      <c r="F18">
        <f t="shared" si="2"/>
        <v>1.1398527865404837</v>
      </c>
    </row>
    <row r="19" spans="1:12" ht="17" x14ac:dyDescent="0.25">
      <c r="A19" s="2">
        <v>26511</v>
      </c>
      <c r="B19" s="3">
        <v>127.75</v>
      </c>
      <c r="C19">
        <f t="shared" si="0"/>
        <v>1972</v>
      </c>
      <c r="D19">
        <f t="shared" si="1"/>
        <v>7</v>
      </c>
      <c r="E19" s="7" cm="1">
        <f t="array" ref="E19">LOOKUP(12, D:D/(C:C = C19 - 1), B:B)</f>
        <v>114.12</v>
      </c>
      <c r="F19">
        <f t="shared" si="2"/>
        <v>1.1194356817385207</v>
      </c>
    </row>
    <row r="20" spans="1:12" ht="17" x14ac:dyDescent="0.25">
      <c r="A20" s="2">
        <v>26542</v>
      </c>
      <c r="B20" s="3">
        <v>129.94999999999999</v>
      </c>
      <c r="C20">
        <f t="shared" si="0"/>
        <v>1972</v>
      </c>
      <c r="D20">
        <f t="shared" si="1"/>
        <v>8</v>
      </c>
      <c r="E20" s="7" cm="1">
        <f t="array" ref="E20">LOOKUP(12, D:D/(C:C = C20 - 1), B:B)</f>
        <v>114.12</v>
      </c>
      <c r="F20">
        <f t="shared" si="2"/>
        <v>1.138713634770417</v>
      </c>
    </row>
    <row r="21" spans="1:12" ht="17" x14ac:dyDescent="0.25">
      <c r="A21" s="2">
        <v>26571</v>
      </c>
      <c r="B21" s="3">
        <v>129.61000000000001</v>
      </c>
      <c r="C21">
        <f t="shared" si="0"/>
        <v>1972</v>
      </c>
      <c r="D21">
        <f t="shared" si="1"/>
        <v>9</v>
      </c>
      <c r="E21" s="7" cm="1">
        <f t="array" ref="E21">LOOKUP(12, D:D/(C:C = C21 - 1), B:B)</f>
        <v>114.12</v>
      </c>
      <c r="F21">
        <f t="shared" si="2"/>
        <v>1.1357343147563967</v>
      </c>
    </row>
    <row r="22" spans="1:12" ht="17" x14ac:dyDescent="0.25">
      <c r="A22" s="2">
        <v>26603</v>
      </c>
      <c r="B22" s="3">
        <v>130.24</v>
      </c>
      <c r="C22">
        <f t="shared" si="0"/>
        <v>1972</v>
      </c>
      <c r="D22">
        <f t="shared" si="1"/>
        <v>10</v>
      </c>
      <c r="E22" s="7" cm="1">
        <f t="array" ref="E22">LOOKUP(12, D:D/(C:C = C22 - 1), B:B)</f>
        <v>114.12</v>
      </c>
      <c r="F22">
        <f t="shared" si="2"/>
        <v>1.1412548194882579</v>
      </c>
    </row>
    <row r="23" spans="1:12" ht="17" x14ac:dyDescent="0.25">
      <c r="A23" s="2">
        <v>26633</v>
      </c>
      <c r="B23" s="3">
        <v>132.96</v>
      </c>
      <c r="C23">
        <f t="shared" si="0"/>
        <v>1972</v>
      </c>
      <c r="D23">
        <f t="shared" si="1"/>
        <v>11</v>
      </c>
      <c r="E23" s="7" cm="1">
        <f t="array" ref="E23">LOOKUP(12, D:D/(C:C = C23 - 1), B:B)</f>
        <v>114.12</v>
      </c>
      <c r="F23">
        <f t="shared" si="2"/>
        <v>1.1650893796004207</v>
      </c>
    </row>
    <row r="24" spans="1:12" ht="17" x14ac:dyDescent="0.25">
      <c r="A24" s="2">
        <v>26662</v>
      </c>
      <c r="B24" s="3">
        <v>133.72999999999999</v>
      </c>
      <c r="C24">
        <f t="shared" si="0"/>
        <v>1972</v>
      </c>
      <c r="D24">
        <f t="shared" si="1"/>
        <v>12</v>
      </c>
      <c r="E24" s="7" cm="1">
        <f t="array" ref="E24">LOOKUP(12, D:D/(C:C = C24 - 1), B:B)</f>
        <v>114.12</v>
      </c>
      <c r="F24">
        <f t="shared" si="2"/>
        <v>1.1718366631615842</v>
      </c>
    </row>
    <row r="25" spans="1:12" ht="17" x14ac:dyDescent="0.25">
      <c r="A25" s="2">
        <v>26695</v>
      </c>
      <c r="B25" s="3">
        <v>128.4</v>
      </c>
      <c r="C25">
        <f t="shared" si="0"/>
        <v>1973</v>
      </c>
      <c r="D25">
        <f t="shared" si="1"/>
        <v>1</v>
      </c>
      <c r="E25" s="7" cm="1">
        <f t="array" ref="E25">LOOKUP(12, D:D/(C:C = C25 - 1), B:B)</f>
        <v>133.72999999999999</v>
      </c>
      <c r="F25">
        <f t="shared" si="2"/>
        <v>0.96014357287070973</v>
      </c>
    </row>
    <row r="26" spans="1:12" ht="17" x14ac:dyDescent="0.25">
      <c r="A26" s="2">
        <v>26723</v>
      </c>
      <c r="B26" s="3">
        <v>120.41</v>
      </c>
      <c r="C26">
        <f t="shared" si="0"/>
        <v>1973</v>
      </c>
      <c r="D26">
        <f t="shared" si="1"/>
        <v>2</v>
      </c>
      <c r="E26" s="7" cm="1">
        <f t="array" ref="E26">LOOKUP(12, D:D/(C:C = C26 - 1), B:B)</f>
        <v>133.72999999999999</v>
      </c>
      <c r="F26">
        <f t="shared" si="2"/>
        <v>0.90039632094518807</v>
      </c>
    </row>
    <row r="27" spans="1:12" ht="17" x14ac:dyDescent="0.25">
      <c r="A27" s="2">
        <v>26753</v>
      </c>
      <c r="B27" s="3">
        <v>117.46</v>
      </c>
      <c r="C27">
        <f t="shared" si="0"/>
        <v>1973</v>
      </c>
      <c r="D27">
        <f t="shared" si="1"/>
        <v>3</v>
      </c>
      <c r="E27" s="7" cm="1">
        <f t="array" ref="E27">LOOKUP(12, D:D/(C:C = C27 - 1), B:B)</f>
        <v>133.72999999999999</v>
      </c>
      <c r="F27">
        <f t="shared" si="2"/>
        <v>0.87833694758094671</v>
      </c>
    </row>
    <row r="28" spans="1:12" ht="17" x14ac:dyDescent="0.25">
      <c r="A28" s="2">
        <v>26784</v>
      </c>
      <c r="B28" s="3">
        <v>107.85</v>
      </c>
      <c r="C28">
        <f t="shared" si="0"/>
        <v>1973</v>
      </c>
      <c r="D28">
        <f t="shared" si="1"/>
        <v>4</v>
      </c>
      <c r="E28" s="7" cm="1">
        <f t="array" ref="E28">LOOKUP(12, D:D/(C:C = C28 - 1), B:B)</f>
        <v>133.72999999999999</v>
      </c>
      <c r="F28">
        <f t="shared" si="2"/>
        <v>0.80647573468929934</v>
      </c>
    </row>
    <row r="29" spans="1:12" ht="17" x14ac:dyDescent="0.25">
      <c r="A29" s="2">
        <v>26815</v>
      </c>
      <c r="B29" s="3">
        <v>102.64</v>
      </c>
      <c r="C29">
        <f t="shared" si="0"/>
        <v>1973</v>
      </c>
      <c r="D29">
        <f t="shared" si="1"/>
        <v>5</v>
      </c>
      <c r="E29" s="7" cm="1">
        <f t="array" ref="E29">LOOKUP(12, D:D/(C:C = C29 - 1), B:B)</f>
        <v>133.72999999999999</v>
      </c>
      <c r="F29">
        <f t="shared" si="2"/>
        <v>0.76751663800194425</v>
      </c>
    </row>
    <row r="30" spans="1:12" ht="17" x14ac:dyDescent="0.25">
      <c r="A30" s="2">
        <v>26844</v>
      </c>
      <c r="B30" s="3">
        <v>100.98</v>
      </c>
      <c r="C30">
        <f t="shared" si="0"/>
        <v>1973</v>
      </c>
      <c r="D30">
        <f t="shared" si="1"/>
        <v>6</v>
      </c>
      <c r="E30" s="7" cm="1">
        <f t="array" ref="E30">LOOKUP(12, D:D/(C:C = C30 - 1), B:B)</f>
        <v>133.72999999999999</v>
      </c>
      <c r="F30">
        <f t="shared" si="2"/>
        <v>0.75510356688850677</v>
      </c>
    </row>
    <row r="31" spans="1:12" ht="17" x14ac:dyDescent="0.25">
      <c r="A31" s="2">
        <v>26876</v>
      </c>
      <c r="B31" s="3">
        <v>108.64</v>
      </c>
      <c r="C31">
        <f t="shared" si="0"/>
        <v>1973</v>
      </c>
      <c r="D31">
        <f t="shared" si="1"/>
        <v>7</v>
      </c>
      <c r="E31" s="7" cm="1">
        <f t="array" ref="E31">LOOKUP(12, D:D/(C:C = C31 - 1), B:B)</f>
        <v>133.72999999999999</v>
      </c>
      <c r="F31">
        <f t="shared" si="2"/>
        <v>0.81238316009870637</v>
      </c>
    </row>
    <row r="32" spans="1:12" ht="17" x14ac:dyDescent="0.25">
      <c r="A32" s="2">
        <v>26907</v>
      </c>
      <c r="B32" s="3">
        <v>104.87</v>
      </c>
      <c r="C32">
        <f t="shared" si="0"/>
        <v>1973</v>
      </c>
      <c r="D32">
        <f t="shared" si="1"/>
        <v>8</v>
      </c>
      <c r="E32" s="7" cm="1">
        <f t="array" ref="E32">LOOKUP(12, D:D/(C:C = C32 - 1), B:B)</f>
        <v>133.72999999999999</v>
      </c>
      <c r="F32">
        <f t="shared" si="2"/>
        <v>0.78419202871457427</v>
      </c>
    </row>
    <row r="33" spans="1:6" ht="17" x14ac:dyDescent="0.25">
      <c r="A33" s="2">
        <v>26935</v>
      </c>
      <c r="B33" s="3">
        <v>111.2</v>
      </c>
      <c r="C33">
        <f t="shared" si="0"/>
        <v>1973</v>
      </c>
      <c r="D33">
        <f t="shared" si="1"/>
        <v>9</v>
      </c>
      <c r="E33" s="7" cm="1">
        <f t="array" ref="E33">LOOKUP(12, D:D/(C:C = C33 - 1), B:B)</f>
        <v>133.72999999999999</v>
      </c>
      <c r="F33">
        <f t="shared" si="2"/>
        <v>0.83152620952665823</v>
      </c>
    </row>
    <row r="34" spans="1:6" ht="17" x14ac:dyDescent="0.25">
      <c r="A34" s="2">
        <v>26968</v>
      </c>
      <c r="B34" s="3">
        <v>110.17</v>
      </c>
      <c r="C34">
        <f t="shared" si="0"/>
        <v>1973</v>
      </c>
      <c r="D34">
        <f t="shared" si="1"/>
        <v>10</v>
      </c>
      <c r="E34" s="7" cm="1">
        <f t="array" ref="E34">LOOKUP(12, D:D/(C:C = C34 - 1), B:B)</f>
        <v>133.72999999999999</v>
      </c>
      <c r="F34">
        <f t="shared" si="2"/>
        <v>0.82382412323338072</v>
      </c>
    </row>
    <row r="35" spans="1:6" ht="17" x14ac:dyDescent="0.25">
      <c r="A35" s="2">
        <v>26998</v>
      </c>
      <c r="B35" s="3">
        <v>93.51</v>
      </c>
      <c r="C35">
        <f t="shared" si="0"/>
        <v>1973</v>
      </c>
      <c r="D35">
        <f t="shared" si="1"/>
        <v>11</v>
      </c>
      <c r="E35" s="7" cm="1">
        <f t="array" ref="E35">LOOKUP(12, D:D/(C:C = C35 - 1), B:B)</f>
        <v>133.72999999999999</v>
      </c>
      <c r="F35">
        <f t="shared" si="2"/>
        <v>0.69924474687803795</v>
      </c>
    </row>
    <row r="36" spans="1:6" ht="17" x14ac:dyDescent="0.25">
      <c r="A36" s="2">
        <v>27029</v>
      </c>
      <c r="B36" s="3">
        <v>92.19</v>
      </c>
      <c r="C36">
        <f t="shared" si="0"/>
        <v>1973</v>
      </c>
      <c r="D36">
        <f t="shared" si="1"/>
        <v>12</v>
      </c>
      <c r="E36" s="7" cm="1">
        <f t="array" ref="E36">LOOKUP(12, D:D/(C:C = C36 - 1), B:B)</f>
        <v>133.72999999999999</v>
      </c>
      <c r="F36">
        <f t="shared" si="2"/>
        <v>0.68937411201675025</v>
      </c>
    </row>
    <row r="37" spans="1:6" ht="17" x14ac:dyDescent="0.25">
      <c r="A37" s="2">
        <v>27060</v>
      </c>
      <c r="B37" s="3">
        <v>94.93</v>
      </c>
      <c r="C37">
        <f t="shared" si="0"/>
        <v>1974</v>
      </c>
      <c r="D37">
        <f t="shared" si="1"/>
        <v>1</v>
      </c>
      <c r="E37" s="7" cm="1">
        <f t="array" ref="E37">LOOKUP(12, D:D/(C:C = C37 - 1), B:B)</f>
        <v>92.19</v>
      </c>
      <c r="F37">
        <f t="shared" si="2"/>
        <v>1.0297212278989045</v>
      </c>
    </row>
    <row r="38" spans="1:6" ht="17" x14ac:dyDescent="0.25">
      <c r="A38" s="2">
        <v>27088</v>
      </c>
      <c r="B38" s="3">
        <v>94.35</v>
      </c>
      <c r="C38">
        <f t="shared" si="0"/>
        <v>1974</v>
      </c>
      <c r="D38">
        <f t="shared" si="1"/>
        <v>2</v>
      </c>
      <c r="E38" s="7" cm="1">
        <f t="array" ref="E38">LOOKUP(12, D:D/(C:C = C38 - 1), B:B)</f>
        <v>92.19</v>
      </c>
      <c r="F38">
        <f t="shared" si="2"/>
        <v>1.0234298730881874</v>
      </c>
    </row>
    <row r="39" spans="1:6" ht="17" x14ac:dyDescent="0.25">
      <c r="A39" s="2">
        <v>27117</v>
      </c>
      <c r="B39" s="3">
        <v>92.27</v>
      </c>
      <c r="C39">
        <f t="shared" si="0"/>
        <v>1974</v>
      </c>
      <c r="D39">
        <f t="shared" si="1"/>
        <v>3</v>
      </c>
      <c r="E39" s="7" cm="1">
        <f t="array" ref="E39">LOOKUP(12, D:D/(C:C = C39 - 1), B:B)</f>
        <v>92.19</v>
      </c>
      <c r="F39">
        <f t="shared" si="2"/>
        <v>1.0008677730773403</v>
      </c>
    </row>
    <row r="40" spans="1:6" ht="17" x14ac:dyDescent="0.25">
      <c r="A40" s="2">
        <v>27149</v>
      </c>
      <c r="B40" s="3">
        <v>86.86</v>
      </c>
      <c r="C40">
        <f t="shared" si="0"/>
        <v>1974</v>
      </c>
      <c r="D40">
        <f t="shared" si="1"/>
        <v>4</v>
      </c>
      <c r="E40" s="7" cm="1">
        <f t="array" ref="E40">LOOKUP(12, D:D/(C:C = C40 - 1), B:B)</f>
        <v>92.19</v>
      </c>
      <c r="F40">
        <f t="shared" si="2"/>
        <v>0.94218461872220416</v>
      </c>
    </row>
    <row r="41" spans="1:6" ht="17" x14ac:dyDescent="0.25">
      <c r="A41" s="2">
        <v>27180</v>
      </c>
      <c r="B41" s="3">
        <v>80.2</v>
      </c>
      <c r="C41">
        <f t="shared" si="0"/>
        <v>1974</v>
      </c>
      <c r="D41">
        <f t="shared" si="1"/>
        <v>5</v>
      </c>
      <c r="E41" s="7" cm="1">
        <f t="array" ref="E41">LOOKUP(12, D:D/(C:C = C41 - 1), B:B)</f>
        <v>92.19</v>
      </c>
      <c r="F41">
        <f t="shared" si="2"/>
        <v>0.86994251003362622</v>
      </c>
    </row>
    <row r="42" spans="1:6" ht="17" x14ac:dyDescent="0.25">
      <c r="A42" s="2">
        <v>27208</v>
      </c>
      <c r="B42" s="3">
        <v>75.959999999999994</v>
      </c>
      <c r="C42">
        <f t="shared" si="0"/>
        <v>1974</v>
      </c>
      <c r="D42">
        <f t="shared" si="1"/>
        <v>6</v>
      </c>
      <c r="E42" s="7" cm="1">
        <f t="array" ref="E42">LOOKUP(12, D:D/(C:C = C42 - 1), B:B)</f>
        <v>92.19</v>
      </c>
      <c r="F42">
        <f t="shared" si="2"/>
        <v>0.82395053693459153</v>
      </c>
    </row>
    <row r="43" spans="1:6" ht="17" x14ac:dyDescent="0.25">
      <c r="A43" s="2">
        <v>27241</v>
      </c>
      <c r="B43" s="3">
        <v>69.989999999999995</v>
      </c>
      <c r="C43">
        <f t="shared" si="0"/>
        <v>1974</v>
      </c>
      <c r="D43">
        <f t="shared" si="1"/>
        <v>7</v>
      </c>
      <c r="E43" s="7" cm="1">
        <f t="array" ref="E43">LOOKUP(12, D:D/(C:C = C43 - 1), B:B)</f>
        <v>92.19</v>
      </c>
      <c r="F43">
        <f t="shared" si="2"/>
        <v>0.75919297103807348</v>
      </c>
    </row>
    <row r="44" spans="1:6" ht="17" x14ac:dyDescent="0.25">
      <c r="A44" s="2">
        <v>27271</v>
      </c>
      <c r="B44" s="3">
        <v>62.37</v>
      </c>
      <c r="C44">
        <f t="shared" si="0"/>
        <v>1974</v>
      </c>
      <c r="D44">
        <f t="shared" si="1"/>
        <v>8</v>
      </c>
      <c r="E44" s="7" cm="1">
        <f t="array" ref="E44">LOOKUP(12, D:D/(C:C = C44 - 1), B:B)</f>
        <v>92.19</v>
      </c>
      <c r="F44">
        <f t="shared" si="2"/>
        <v>0.67653758542141229</v>
      </c>
    </row>
    <row r="45" spans="1:6" ht="17" x14ac:dyDescent="0.25">
      <c r="A45" s="2">
        <v>27302</v>
      </c>
      <c r="B45" s="3">
        <v>55.67</v>
      </c>
      <c r="C45">
        <f t="shared" si="0"/>
        <v>1974</v>
      </c>
      <c r="D45">
        <f t="shared" si="1"/>
        <v>9</v>
      </c>
      <c r="E45" s="7" cm="1">
        <f t="array" ref="E45">LOOKUP(12, D:D/(C:C = C45 - 1), B:B)</f>
        <v>92.19</v>
      </c>
      <c r="F45">
        <f t="shared" si="2"/>
        <v>0.6038615901941643</v>
      </c>
    </row>
    <row r="46" spans="1:6" ht="17" x14ac:dyDescent="0.25">
      <c r="A46" s="2">
        <v>27333</v>
      </c>
      <c r="B46" s="3">
        <v>65.23</v>
      </c>
      <c r="C46">
        <f t="shared" si="0"/>
        <v>1974</v>
      </c>
      <c r="D46">
        <f t="shared" si="1"/>
        <v>10</v>
      </c>
      <c r="E46" s="7" cm="1">
        <f t="array" ref="E46">LOOKUP(12, D:D/(C:C = C46 - 1), B:B)</f>
        <v>92.19</v>
      </c>
      <c r="F46">
        <f t="shared" si="2"/>
        <v>0.70756047293632718</v>
      </c>
    </row>
    <row r="47" spans="1:6" ht="17" x14ac:dyDescent="0.25">
      <c r="A47" s="2">
        <v>27362</v>
      </c>
      <c r="B47" s="3">
        <v>62.95</v>
      </c>
      <c r="C47">
        <f t="shared" si="0"/>
        <v>1974</v>
      </c>
      <c r="D47">
        <f t="shared" si="1"/>
        <v>11</v>
      </c>
      <c r="E47" s="7" cm="1">
        <f t="array" ref="E47">LOOKUP(12, D:D/(C:C = C47 - 1), B:B)</f>
        <v>92.19</v>
      </c>
      <c r="F47">
        <f t="shared" si="2"/>
        <v>0.68282894023212937</v>
      </c>
    </row>
    <row r="48" spans="1:6" ht="17" x14ac:dyDescent="0.25">
      <c r="A48" s="2">
        <v>27394</v>
      </c>
      <c r="B48" s="3">
        <v>59.82</v>
      </c>
      <c r="C48">
        <f t="shared" si="0"/>
        <v>1974</v>
      </c>
      <c r="D48">
        <f t="shared" si="1"/>
        <v>12</v>
      </c>
      <c r="E48" s="7" cm="1">
        <f t="array" ref="E48">LOOKUP(12, D:D/(C:C = C48 - 1), B:B)</f>
        <v>92.19</v>
      </c>
      <c r="F48">
        <f t="shared" si="2"/>
        <v>0.64887731858119102</v>
      </c>
    </row>
    <row r="49" spans="1:6" ht="17" x14ac:dyDescent="0.25">
      <c r="A49" s="2">
        <v>27425</v>
      </c>
      <c r="B49" s="3">
        <v>69.78</v>
      </c>
      <c r="C49">
        <f t="shared" si="0"/>
        <v>1975</v>
      </c>
      <c r="D49">
        <f t="shared" si="1"/>
        <v>1</v>
      </c>
      <c r="E49" s="7" cm="1">
        <f t="array" ref="E49">LOOKUP(12, D:D/(C:C = C49 - 1), B:B)</f>
        <v>59.82</v>
      </c>
      <c r="F49">
        <f t="shared" si="2"/>
        <v>1.1664994984954864</v>
      </c>
    </row>
    <row r="50" spans="1:6" ht="17" x14ac:dyDescent="0.25">
      <c r="A50" s="2">
        <v>27453</v>
      </c>
      <c r="B50" s="3">
        <v>73</v>
      </c>
      <c r="C50">
        <f t="shared" si="0"/>
        <v>1975</v>
      </c>
      <c r="D50">
        <f t="shared" si="1"/>
        <v>2</v>
      </c>
      <c r="E50" s="7" cm="1">
        <f t="array" ref="E50">LOOKUP(12, D:D/(C:C = C50 - 1), B:B)</f>
        <v>59.82</v>
      </c>
      <c r="F50">
        <f t="shared" si="2"/>
        <v>1.2203276496155131</v>
      </c>
    </row>
    <row r="51" spans="1:6" ht="17" x14ac:dyDescent="0.25">
      <c r="A51" s="2">
        <v>27484</v>
      </c>
      <c r="B51" s="3">
        <v>75.66</v>
      </c>
      <c r="C51">
        <f t="shared" si="0"/>
        <v>1975</v>
      </c>
      <c r="D51">
        <f t="shared" si="1"/>
        <v>3</v>
      </c>
      <c r="E51" s="7" cm="1">
        <f t="array" ref="E51">LOOKUP(12, D:D/(C:C = C51 - 1), B:B)</f>
        <v>59.82</v>
      </c>
      <c r="F51">
        <f t="shared" si="2"/>
        <v>1.2647943831494484</v>
      </c>
    </row>
    <row r="52" spans="1:6" ht="17" x14ac:dyDescent="0.25">
      <c r="A52" s="2">
        <v>27514</v>
      </c>
      <c r="B52" s="3">
        <v>78.540000000000006</v>
      </c>
      <c r="C52">
        <f t="shared" si="0"/>
        <v>1975</v>
      </c>
      <c r="D52">
        <f t="shared" si="1"/>
        <v>4</v>
      </c>
      <c r="E52" s="7" cm="1">
        <f t="array" ref="E52">LOOKUP(12, D:D/(C:C = C52 - 1), B:B)</f>
        <v>59.82</v>
      </c>
      <c r="F52">
        <f t="shared" si="2"/>
        <v>1.3129388164493481</v>
      </c>
    </row>
    <row r="53" spans="1:6" ht="17" x14ac:dyDescent="0.25">
      <c r="A53" s="2">
        <v>27544</v>
      </c>
      <c r="B53" s="3">
        <v>83.1</v>
      </c>
      <c r="C53">
        <f t="shared" si="0"/>
        <v>1975</v>
      </c>
      <c r="D53">
        <f t="shared" si="1"/>
        <v>5</v>
      </c>
      <c r="E53" s="7" cm="1">
        <f t="array" ref="E53">LOOKUP(12, D:D/(C:C = C53 - 1), B:B)</f>
        <v>59.82</v>
      </c>
      <c r="F53">
        <f t="shared" si="2"/>
        <v>1.3891675025075225</v>
      </c>
    </row>
    <row r="54" spans="1:6" ht="17" x14ac:dyDescent="0.25">
      <c r="A54" s="2">
        <v>27575</v>
      </c>
      <c r="B54" s="3">
        <v>87.02</v>
      </c>
      <c r="C54">
        <f t="shared" si="0"/>
        <v>1975</v>
      </c>
      <c r="D54">
        <f t="shared" si="1"/>
        <v>6</v>
      </c>
      <c r="E54" s="7" cm="1">
        <f t="array" ref="E54">LOOKUP(12, D:D/(C:C = C54 - 1), B:B)</f>
        <v>59.82</v>
      </c>
      <c r="F54">
        <f t="shared" si="2"/>
        <v>1.4546974256101637</v>
      </c>
    </row>
    <row r="55" spans="1:6" ht="17" x14ac:dyDescent="0.25">
      <c r="A55" s="2">
        <v>27606</v>
      </c>
      <c r="B55" s="3">
        <v>83.19</v>
      </c>
      <c r="C55">
        <f t="shared" si="0"/>
        <v>1975</v>
      </c>
      <c r="D55">
        <f t="shared" si="1"/>
        <v>7</v>
      </c>
      <c r="E55" s="7" cm="1">
        <f t="array" ref="E55">LOOKUP(12, D:D/(C:C = C55 - 1), B:B)</f>
        <v>59.82</v>
      </c>
      <c r="F55">
        <f t="shared" si="2"/>
        <v>1.3906720160481445</v>
      </c>
    </row>
    <row r="56" spans="1:6" ht="17" x14ac:dyDescent="0.25">
      <c r="A56" s="2">
        <v>27635</v>
      </c>
      <c r="B56" s="3">
        <v>79.010000000000005</v>
      </c>
      <c r="C56">
        <f t="shared" si="0"/>
        <v>1975</v>
      </c>
      <c r="D56">
        <f t="shared" si="1"/>
        <v>8</v>
      </c>
      <c r="E56" s="7" cm="1">
        <f t="array" ref="E56">LOOKUP(12, D:D/(C:C = C56 - 1), B:B)</f>
        <v>59.82</v>
      </c>
      <c r="F56">
        <f t="shared" si="2"/>
        <v>1.320795720494818</v>
      </c>
    </row>
    <row r="57" spans="1:6" ht="17" x14ac:dyDescent="0.25">
      <c r="A57" s="2">
        <v>27667</v>
      </c>
      <c r="B57" s="3">
        <v>74.33</v>
      </c>
      <c r="C57">
        <f t="shared" si="0"/>
        <v>1975</v>
      </c>
      <c r="D57">
        <f t="shared" si="1"/>
        <v>9</v>
      </c>
      <c r="E57" s="7" cm="1">
        <f t="array" ref="E57">LOOKUP(12, D:D/(C:C = C57 - 1), B:B)</f>
        <v>59.82</v>
      </c>
      <c r="F57">
        <f t="shared" si="2"/>
        <v>1.2425610163824807</v>
      </c>
    </row>
    <row r="58" spans="1:6" ht="17" x14ac:dyDescent="0.25">
      <c r="A58" s="2">
        <v>27698</v>
      </c>
      <c r="B58" s="3">
        <v>76.989999999999995</v>
      </c>
      <c r="C58">
        <f t="shared" si="0"/>
        <v>1975</v>
      </c>
      <c r="D58">
        <f t="shared" si="1"/>
        <v>10</v>
      </c>
      <c r="E58" s="7" cm="1">
        <f t="array" ref="E58">LOOKUP(12, D:D/(C:C = C58 - 1), B:B)</f>
        <v>59.82</v>
      </c>
      <c r="F58">
        <f t="shared" si="2"/>
        <v>1.2870277499164158</v>
      </c>
    </row>
    <row r="59" spans="1:6" ht="17" x14ac:dyDescent="0.25">
      <c r="A59" s="2">
        <v>27726</v>
      </c>
      <c r="B59" s="3">
        <v>78.8</v>
      </c>
      <c r="C59">
        <f t="shared" si="0"/>
        <v>1975</v>
      </c>
      <c r="D59">
        <f t="shared" si="1"/>
        <v>11</v>
      </c>
      <c r="E59" s="7" cm="1">
        <f t="array" ref="E59">LOOKUP(12, D:D/(C:C = C59 - 1), B:B)</f>
        <v>59.82</v>
      </c>
      <c r="F59">
        <f t="shared" si="2"/>
        <v>1.3172851889000334</v>
      </c>
    </row>
    <row r="60" spans="1:6" ht="17" x14ac:dyDescent="0.25">
      <c r="A60" s="2">
        <v>27759</v>
      </c>
      <c r="B60" s="3">
        <v>77.62</v>
      </c>
      <c r="C60">
        <f t="shared" si="0"/>
        <v>1975</v>
      </c>
      <c r="D60">
        <f t="shared" si="1"/>
        <v>12</v>
      </c>
      <c r="E60" s="7" cm="1">
        <f t="array" ref="E60">LOOKUP(12, D:D/(C:C = C60 - 1), B:B)</f>
        <v>59.82</v>
      </c>
      <c r="F60">
        <f t="shared" si="2"/>
        <v>1.2975593447007689</v>
      </c>
    </row>
    <row r="61" spans="1:6" ht="17" x14ac:dyDescent="0.25">
      <c r="A61" s="2">
        <v>27789</v>
      </c>
      <c r="B61" s="3">
        <v>87.05</v>
      </c>
      <c r="C61">
        <f t="shared" si="0"/>
        <v>1976</v>
      </c>
      <c r="D61">
        <f t="shared" si="1"/>
        <v>1</v>
      </c>
      <c r="E61" s="7" cm="1">
        <f t="array" ref="E61">LOOKUP(12, D:D/(C:C = C61 - 1), B:B)</f>
        <v>77.62</v>
      </c>
      <c r="F61">
        <f t="shared" si="2"/>
        <v>1.1214893068796701</v>
      </c>
    </row>
    <row r="62" spans="1:6" ht="17" x14ac:dyDescent="0.25">
      <c r="A62" s="2">
        <v>27817</v>
      </c>
      <c r="B62" s="3">
        <v>90.26</v>
      </c>
      <c r="C62">
        <f t="shared" si="0"/>
        <v>1976</v>
      </c>
      <c r="D62">
        <f t="shared" si="1"/>
        <v>2</v>
      </c>
      <c r="E62" s="7" cm="1">
        <f t="array" ref="E62">LOOKUP(12, D:D/(C:C = C62 - 1), B:B)</f>
        <v>77.62</v>
      </c>
      <c r="F62">
        <f t="shared" si="2"/>
        <v>1.16284462767328</v>
      </c>
    </row>
    <row r="63" spans="1:6" ht="17" x14ac:dyDescent="0.25">
      <c r="A63" s="2">
        <v>27850</v>
      </c>
      <c r="B63" s="3">
        <v>90.62</v>
      </c>
      <c r="C63">
        <f t="shared" si="0"/>
        <v>1976</v>
      </c>
      <c r="D63">
        <f t="shared" si="1"/>
        <v>3</v>
      </c>
      <c r="E63" s="7" cm="1">
        <f t="array" ref="E63">LOOKUP(12, D:D/(C:C = C63 - 1), B:B)</f>
        <v>77.62</v>
      </c>
      <c r="F63">
        <f t="shared" si="2"/>
        <v>1.1674826075753673</v>
      </c>
    </row>
    <row r="64" spans="1:6" ht="17" x14ac:dyDescent="0.25">
      <c r="A64" s="2">
        <v>27880</v>
      </c>
      <c r="B64" s="3">
        <v>90.08</v>
      </c>
      <c r="C64">
        <f t="shared" si="0"/>
        <v>1976</v>
      </c>
      <c r="D64">
        <f t="shared" si="1"/>
        <v>4</v>
      </c>
      <c r="E64" s="7" cm="1">
        <f t="array" ref="E64">LOOKUP(12, D:D/(C:C = C64 - 1), B:B)</f>
        <v>77.62</v>
      </c>
      <c r="F64">
        <f t="shared" si="2"/>
        <v>1.1605256377222364</v>
      </c>
    </row>
    <row r="65" spans="1:6" ht="17" x14ac:dyDescent="0.25">
      <c r="A65" s="2">
        <v>27908</v>
      </c>
      <c r="B65" s="3">
        <v>88.04</v>
      </c>
      <c r="C65">
        <f t="shared" si="0"/>
        <v>1976</v>
      </c>
      <c r="D65">
        <f t="shared" si="1"/>
        <v>5</v>
      </c>
      <c r="E65" s="7" cm="1">
        <f t="array" ref="E65">LOOKUP(12, D:D/(C:C = C65 - 1), B:B)</f>
        <v>77.62</v>
      </c>
      <c r="F65">
        <f t="shared" si="2"/>
        <v>1.1342437516104098</v>
      </c>
    </row>
    <row r="66" spans="1:6" ht="17" x14ac:dyDescent="0.25">
      <c r="A66" s="2">
        <v>27941</v>
      </c>
      <c r="B66" s="3">
        <v>90.32</v>
      </c>
      <c r="C66">
        <f t="shared" ref="C66:C129" si="3">YEAR(A66)</f>
        <v>1976</v>
      </c>
      <c r="D66">
        <f t="shared" ref="D66:D129" si="4">MONTH(A66)</f>
        <v>6</v>
      </c>
      <c r="E66" s="7" cm="1">
        <f t="array" ref="E66">LOOKUP(12, D:D/(C:C = C66 - 1), B:B)</f>
        <v>77.62</v>
      </c>
      <c r="F66">
        <f t="shared" si="2"/>
        <v>1.1636176243236278</v>
      </c>
    </row>
    <row r="67" spans="1:6" ht="17" x14ac:dyDescent="0.25">
      <c r="A67" s="2">
        <v>27971</v>
      </c>
      <c r="B67" s="3">
        <v>91.29</v>
      </c>
      <c r="C67">
        <f t="shared" si="3"/>
        <v>1976</v>
      </c>
      <c r="D67">
        <f t="shared" si="4"/>
        <v>7</v>
      </c>
      <c r="E67" s="7" cm="1">
        <f t="array" ref="E67">LOOKUP(12, D:D/(C:C = C67 - 1), B:B)</f>
        <v>77.62</v>
      </c>
      <c r="F67">
        <f t="shared" ref="F67:F130" si="5">B67/E67</f>
        <v>1.1761144035042514</v>
      </c>
    </row>
    <row r="68" spans="1:6" ht="17" x14ac:dyDescent="0.25">
      <c r="A68" s="2">
        <v>28003</v>
      </c>
      <c r="B68" s="3">
        <v>89.7</v>
      </c>
      <c r="C68">
        <f t="shared" si="3"/>
        <v>1976</v>
      </c>
      <c r="D68">
        <f t="shared" si="4"/>
        <v>8</v>
      </c>
      <c r="E68" s="7" cm="1">
        <f t="array" ref="E68">LOOKUP(12, D:D/(C:C = C68 - 1), B:B)</f>
        <v>77.62</v>
      </c>
      <c r="F68">
        <f t="shared" si="5"/>
        <v>1.1556299922700335</v>
      </c>
    </row>
    <row r="69" spans="1:6" ht="17" x14ac:dyDescent="0.25">
      <c r="A69" s="2">
        <v>28033</v>
      </c>
      <c r="B69" s="3">
        <v>91.26</v>
      </c>
      <c r="C69">
        <f t="shared" si="3"/>
        <v>1976</v>
      </c>
      <c r="D69">
        <f t="shared" si="4"/>
        <v>9</v>
      </c>
      <c r="E69" s="7" cm="1">
        <f t="array" ref="E69">LOOKUP(12, D:D/(C:C = C69 - 1), B:B)</f>
        <v>77.62</v>
      </c>
      <c r="F69">
        <f t="shared" si="5"/>
        <v>1.1757279051790777</v>
      </c>
    </row>
    <row r="70" spans="1:6" ht="17" x14ac:dyDescent="0.25">
      <c r="A70" s="2">
        <v>28062</v>
      </c>
      <c r="B70" s="3">
        <v>90.35</v>
      </c>
      <c r="C70">
        <f t="shared" si="3"/>
        <v>1976</v>
      </c>
      <c r="D70">
        <f t="shared" si="4"/>
        <v>10</v>
      </c>
      <c r="E70" s="7" cm="1">
        <f t="array" ref="E70">LOOKUP(12, D:D/(C:C = C70 - 1), B:B)</f>
        <v>77.62</v>
      </c>
      <c r="F70">
        <f t="shared" si="5"/>
        <v>1.1640041226488018</v>
      </c>
    </row>
    <row r="71" spans="1:6" ht="17" x14ac:dyDescent="0.25">
      <c r="A71" s="2">
        <v>28094</v>
      </c>
      <c r="B71" s="3">
        <v>91.12</v>
      </c>
      <c r="C71">
        <f t="shared" si="3"/>
        <v>1976</v>
      </c>
      <c r="D71">
        <f t="shared" si="4"/>
        <v>11</v>
      </c>
      <c r="E71" s="7" cm="1">
        <f t="array" ref="E71">LOOKUP(12, D:D/(C:C = C71 - 1), B:B)</f>
        <v>77.62</v>
      </c>
      <c r="F71">
        <f t="shared" si="5"/>
        <v>1.173924246328266</v>
      </c>
    </row>
    <row r="72" spans="1:6" ht="17" x14ac:dyDescent="0.25">
      <c r="A72" s="2">
        <v>28125</v>
      </c>
      <c r="B72" s="3">
        <v>97.88</v>
      </c>
      <c r="C72">
        <f t="shared" si="3"/>
        <v>1976</v>
      </c>
      <c r="D72">
        <f t="shared" si="4"/>
        <v>12</v>
      </c>
      <c r="E72" s="7" cm="1">
        <f t="array" ref="E72">LOOKUP(12, D:D/(C:C = C72 - 1), B:B)</f>
        <v>77.62</v>
      </c>
      <c r="F72">
        <f t="shared" si="5"/>
        <v>1.2610152022674568</v>
      </c>
    </row>
    <row r="73" spans="1:6" ht="17" x14ac:dyDescent="0.25">
      <c r="A73" s="2">
        <v>28156</v>
      </c>
      <c r="B73" s="3">
        <v>95.54</v>
      </c>
      <c r="C73">
        <f t="shared" si="3"/>
        <v>1977</v>
      </c>
      <c r="D73">
        <f t="shared" si="4"/>
        <v>1</v>
      </c>
      <c r="E73" s="7" cm="1">
        <f t="array" ref="E73">LOOKUP(12, D:D/(C:C = C73 - 1), B:B)</f>
        <v>97.88</v>
      </c>
      <c r="F73">
        <f t="shared" si="5"/>
        <v>0.97609317531671447</v>
      </c>
    </row>
    <row r="74" spans="1:6" ht="17" x14ac:dyDescent="0.25">
      <c r="A74" s="2">
        <v>28184</v>
      </c>
      <c r="B74" s="3">
        <v>94.57</v>
      </c>
      <c r="C74">
        <f t="shared" si="3"/>
        <v>1977</v>
      </c>
      <c r="D74">
        <f t="shared" si="4"/>
        <v>2</v>
      </c>
      <c r="E74" s="7" cm="1">
        <f t="array" ref="E74">LOOKUP(12, D:D/(C:C = C74 - 1), B:B)</f>
        <v>97.88</v>
      </c>
      <c r="F74">
        <f t="shared" si="5"/>
        <v>0.96618308132407027</v>
      </c>
    </row>
    <row r="75" spans="1:6" ht="17" x14ac:dyDescent="0.25">
      <c r="A75" s="2">
        <v>28215</v>
      </c>
      <c r="B75" s="3">
        <v>94.13</v>
      </c>
      <c r="C75">
        <f t="shared" si="3"/>
        <v>1977</v>
      </c>
      <c r="D75">
        <f t="shared" si="4"/>
        <v>3</v>
      </c>
      <c r="E75" s="7" cm="1">
        <f t="array" ref="E75">LOOKUP(12, D:D/(C:C = C75 - 1), B:B)</f>
        <v>97.88</v>
      </c>
      <c r="F75">
        <f t="shared" si="5"/>
        <v>0.96168778095627294</v>
      </c>
    </row>
    <row r="76" spans="1:6" ht="17" x14ac:dyDescent="0.25">
      <c r="A76" s="2">
        <v>28244</v>
      </c>
      <c r="B76" s="3">
        <v>95.48</v>
      </c>
      <c r="C76">
        <f t="shared" si="3"/>
        <v>1977</v>
      </c>
      <c r="D76">
        <f t="shared" si="4"/>
        <v>4</v>
      </c>
      <c r="E76" s="7" cm="1">
        <f t="array" ref="E76">LOOKUP(12, D:D/(C:C = C76 - 1), B:B)</f>
        <v>97.88</v>
      </c>
      <c r="F76">
        <f t="shared" si="5"/>
        <v>0.97548017981201485</v>
      </c>
    </row>
    <row r="77" spans="1:6" ht="17" x14ac:dyDescent="0.25">
      <c r="A77" s="2">
        <v>28276</v>
      </c>
      <c r="B77" s="3">
        <v>95.59</v>
      </c>
      <c r="C77">
        <f t="shared" si="3"/>
        <v>1977</v>
      </c>
      <c r="D77">
        <f t="shared" si="4"/>
        <v>5</v>
      </c>
      <c r="E77" s="7" cm="1">
        <f t="array" ref="E77">LOOKUP(12, D:D/(C:C = C77 - 1), B:B)</f>
        <v>97.88</v>
      </c>
      <c r="F77">
        <f t="shared" si="5"/>
        <v>0.97660400490396415</v>
      </c>
    </row>
    <row r="78" spans="1:6" ht="17" x14ac:dyDescent="0.25">
      <c r="A78" s="2">
        <v>28306</v>
      </c>
      <c r="B78" s="3">
        <v>99.73</v>
      </c>
      <c r="C78">
        <f t="shared" si="3"/>
        <v>1977</v>
      </c>
      <c r="D78">
        <f t="shared" si="4"/>
        <v>6</v>
      </c>
      <c r="E78" s="7" cm="1">
        <f t="array" ref="E78">LOOKUP(12, D:D/(C:C = C78 - 1), B:B)</f>
        <v>97.88</v>
      </c>
      <c r="F78">
        <f t="shared" si="5"/>
        <v>1.0189006947282389</v>
      </c>
    </row>
    <row r="79" spans="1:6" ht="17" x14ac:dyDescent="0.25">
      <c r="A79" s="2">
        <v>28335</v>
      </c>
      <c r="B79" s="3">
        <v>100.65</v>
      </c>
      <c r="C79">
        <f t="shared" si="3"/>
        <v>1977</v>
      </c>
      <c r="D79">
        <f t="shared" si="4"/>
        <v>7</v>
      </c>
      <c r="E79" s="7" cm="1">
        <f t="array" ref="E79">LOOKUP(12, D:D/(C:C = C79 - 1), B:B)</f>
        <v>97.88</v>
      </c>
      <c r="F79">
        <f t="shared" si="5"/>
        <v>1.028299959133633</v>
      </c>
    </row>
    <row r="80" spans="1:6" ht="17" x14ac:dyDescent="0.25">
      <c r="A80" s="2">
        <v>28368</v>
      </c>
      <c r="B80" s="3">
        <v>100.1</v>
      </c>
      <c r="C80">
        <f t="shared" si="3"/>
        <v>1977</v>
      </c>
      <c r="D80">
        <f t="shared" si="4"/>
        <v>8</v>
      </c>
      <c r="E80" s="7" cm="1">
        <f t="array" ref="E80">LOOKUP(12, D:D/(C:C = C80 - 1), B:B)</f>
        <v>97.88</v>
      </c>
      <c r="F80">
        <f t="shared" si="5"/>
        <v>1.0226808336738864</v>
      </c>
    </row>
    <row r="81" spans="1:6" ht="17" x14ac:dyDescent="0.25">
      <c r="A81" s="2">
        <v>28398</v>
      </c>
      <c r="B81" s="3">
        <v>100.85</v>
      </c>
      <c r="C81">
        <f t="shared" si="3"/>
        <v>1977</v>
      </c>
      <c r="D81">
        <f t="shared" si="4"/>
        <v>9</v>
      </c>
      <c r="E81" s="7" cm="1">
        <f t="array" ref="E81">LOOKUP(12, D:D/(C:C = C81 - 1), B:B)</f>
        <v>97.88</v>
      </c>
      <c r="F81">
        <f t="shared" si="5"/>
        <v>1.0303432774826318</v>
      </c>
    </row>
    <row r="82" spans="1:6" ht="17" x14ac:dyDescent="0.25">
      <c r="A82" s="2">
        <v>28429</v>
      </c>
      <c r="B82" s="3">
        <v>97.52</v>
      </c>
      <c r="C82">
        <f t="shared" si="3"/>
        <v>1977</v>
      </c>
      <c r="D82">
        <f t="shared" si="4"/>
        <v>10</v>
      </c>
      <c r="E82" s="7" cm="1">
        <f t="array" ref="E82">LOOKUP(12, D:D/(C:C = C82 - 1), B:B)</f>
        <v>97.88</v>
      </c>
      <c r="F82">
        <f t="shared" si="5"/>
        <v>0.99632202697180217</v>
      </c>
    </row>
    <row r="83" spans="1:6" ht="17" x14ac:dyDescent="0.25">
      <c r="A83" s="2">
        <v>28459</v>
      </c>
      <c r="B83" s="3">
        <v>103.15</v>
      </c>
      <c r="C83">
        <f t="shared" si="3"/>
        <v>1977</v>
      </c>
      <c r="D83">
        <f t="shared" si="4"/>
        <v>11</v>
      </c>
      <c r="E83" s="7" cm="1">
        <f t="array" ref="E83">LOOKUP(12, D:D/(C:C = C83 - 1), B:B)</f>
        <v>97.88</v>
      </c>
      <c r="F83">
        <f t="shared" si="5"/>
        <v>1.0538414384961179</v>
      </c>
    </row>
    <row r="84" spans="1:6" ht="17" x14ac:dyDescent="0.25">
      <c r="A84" s="2">
        <v>28489</v>
      </c>
      <c r="B84" s="3">
        <v>105.05</v>
      </c>
      <c r="C84">
        <f t="shared" si="3"/>
        <v>1977</v>
      </c>
      <c r="D84">
        <f t="shared" si="4"/>
        <v>12</v>
      </c>
      <c r="E84" s="7" cm="1">
        <f t="array" ref="E84">LOOKUP(12, D:D/(C:C = C84 - 1), B:B)</f>
        <v>97.88</v>
      </c>
      <c r="F84">
        <f t="shared" si="5"/>
        <v>1.0732529628116061</v>
      </c>
    </row>
    <row r="85" spans="1:6" ht="17" x14ac:dyDescent="0.25">
      <c r="A85" s="2">
        <v>28521</v>
      </c>
      <c r="B85" s="3">
        <v>100.84</v>
      </c>
      <c r="C85">
        <f t="shared" si="3"/>
        <v>1978</v>
      </c>
      <c r="D85">
        <f t="shared" si="4"/>
        <v>1</v>
      </c>
      <c r="E85" s="7" cm="1">
        <f t="array" ref="E85">LOOKUP(12, D:D/(C:C = C85 - 1), B:B)</f>
        <v>105.05</v>
      </c>
      <c r="F85">
        <f t="shared" si="5"/>
        <v>0.95992384578772016</v>
      </c>
    </row>
    <row r="86" spans="1:6" ht="17" x14ac:dyDescent="0.25">
      <c r="A86" s="2">
        <v>28549</v>
      </c>
      <c r="B86" s="3">
        <v>101.47</v>
      </c>
      <c r="C86">
        <f t="shared" si="3"/>
        <v>1978</v>
      </c>
      <c r="D86">
        <f t="shared" si="4"/>
        <v>2</v>
      </c>
      <c r="E86" s="7" cm="1">
        <f t="array" ref="E86">LOOKUP(12, D:D/(C:C = C86 - 1), B:B)</f>
        <v>105.05</v>
      </c>
      <c r="F86">
        <f t="shared" si="5"/>
        <v>0.96592099000475962</v>
      </c>
    </row>
    <row r="87" spans="1:6" ht="17" x14ac:dyDescent="0.25">
      <c r="A87" s="2">
        <v>28580</v>
      </c>
      <c r="B87" s="3">
        <v>106.2</v>
      </c>
      <c r="C87">
        <f t="shared" si="3"/>
        <v>1978</v>
      </c>
      <c r="D87">
        <f t="shared" si="4"/>
        <v>3</v>
      </c>
      <c r="E87" s="7" cm="1">
        <f t="array" ref="E87">LOOKUP(12, D:D/(C:C = C87 - 1), B:B)</f>
        <v>105.05</v>
      </c>
      <c r="F87">
        <f t="shared" si="5"/>
        <v>1.0109471680152309</v>
      </c>
    </row>
    <row r="88" spans="1:6" ht="17" x14ac:dyDescent="0.25">
      <c r="A88" s="2">
        <v>28608</v>
      </c>
      <c r="B88" s="3">
        <v>115.18</v>
      </c>
      <c r="C88">
        <f t="shared" si="3"/>
        <v>1978</v>
      </c>
      <c r="D88">
        <f t="shared" si="4"/>
        <v>4</v>
      </c>
      <c r="E88" s="7" cm="1">
        <f t="array" ref="E88">LOOKUP(12, D:D/(C:C = C88 - 1), B:B)</f>
        <v>105.05</v>
      </c>
      <c r="F88">
        <f t="shared" si="5"/>
        <v>1.0964302712993814</v>
      </c>
    </row>
    <row r="89" spans="1:6" ht="17" x14ac:dyDescent="0.25">
      <c r="A89" s="2">
        <v>28641</v>
      </c>
      <c r="B89" s="3">
        <v>120.24</v>
      </c>
      <c r="C89">
        <f t="shared" si="3"/>
        <v>1978</v>
      </c>
      <c r="D89">
        <f t="shared" si="4"/>
        <v>5</v>
      </c>
      <c r="E89" s="7" cm="1">
        <f t="array" ref="E89">LOOKUP(12, D:D/(C:C = C89 - 1), B:B)</f>
        <v>105.05</v>
      </c>
      <c r="F89">
        <f t="shared" si="5"/>
        <v>1.144597810566397</v>
      </c>
    </row>
    <row r="90" spans="1:6" ht="17" x14ac:dyDescent="0.25">
      <c r="A90" s="2">
        <v>28671</v>
      </c>
      <c r="B90" s="3">
        <v>120.3</v>
      </c>
      <c r="C90">
        <f t="shared" si="3"/>
        <v>1978</v>
      </c>
      <c r="D90">
        <f t="shared" si="4"/>
        <v>6</v>
      </c>
      <c r="E90" s="7" cm="1">
        <f t="array" ref="E90">LOOKUP(12, D:D/(C:C = C90 - 1), B:B)</f>
        <v>105.05</v>
      </c>
      <c r="F90">
        <f t="shared" si="5"/>
        <v>1.1451689671584959</v>
      </c>
    </row>
    <row r="91" spans="1:6" ht="17" x14ac:dyDescent="0.25">
      <c r="A91" s="2">
        <v>28702</v>
      </c>
      <c r="B91" s="3">
        <v>126.32</v>
      </c>
      <c r="C91">
        <f t="shared" si="3"/>
        <v>1978</v>
      </c>
      <c r="D91">
        <f t="shared" si="4"/>
        <v>7</v>
      </c>
      <c r="E91" s="7" cm="1">
        <f t="array" ref="E91">LOOKUP(12, D:D/(C:C = C91 - 1), B:B)</f>
        <v>105.05</v>
      </c>
      <c r="F91">
        <f t="shared" si="5"/>
        <v>1.2024750118990957</v>
      </c>
    </row>
    <row r="92" spans="1:6" ht="17" x14ac:dyDescent="0.25">
      <c r="A92" s="2">
        <v>28733</v>
      </c>
      <c r="B92" s="3">
        <v>135.01</v>
      </c>
      <c r="C92">
        <f t="shared" si="3"/>
        <v>1978</v>
      </c>
      <c r="D92">
        <f t="shared" si="4"/>
        <v>8</v>
      </c>
      <c r="E92" s="7" cm="1">
        <f t="array" ref="E92">LOOKUP(12, D:D/(C:C = C92 - 1), B:B)</f>
        <v>105.05</v>
      </c>
      <c r="F92">
        <f t="shared" si="5"/>
        <v>1.2851975249881009</v>
      </c>
    </row>
    <row r="93" spans="1:6" ht="17" x14ac:dyDescent="0.25">
      <c r="A93" s="2">
        <v>28762</v>
      </c>
      <c r="B93" s="3">
        <v>132.88999999999999</v>
      </c>
      <c r="C93">
        <f t="shared" si="3"/>
        <v>1978</v>
      </c>
      <c r="D93">
        <f t="shared" si="4"/>
        <v>9</v>
      </c>
      <c r="E93" s="7" cm="1">
        <f t="array" ref="E93">LOOKUP(12, D:D/(C:C = C93 - 1), B:B)</f>
        <v>105.05</v>
      </c>
      <c r="F93">
        <f t="shared" si="5"/>
        <v>1.2650166587339362</v>
      </c>
    </row>
    <row r="94" spans="1:6" ht="17" x14ac:dyDescent="0.25">
      <c r="A94" s="2">
        <v>28794</v>
      </c>
      <c r="B94" s="3">
        <v>111.12</v>
      </c>
      <c r="C94">
        <f t="shared" si="3"/>
        <v>1978</v>
      </c>
      <c r="D94">
        <f t="shared" si="4"/>
        <v>10</v>
      </c>
      <c r="E94" s="7" cm="1">
        <f t="array" ref="E94">LOOKUP(12, D:D/(C:C = C94 - 1), B:B)</f>
        <v>105.05</v>
      </c>
      <c r="F94">
        <f t="shared" si="5"/>
        <v>1.0577820085673491</v>
      </c>
    </row>
    <row r="95" spans="1:6" ht="17" x14ac:dyDescent="0.25">
      <c r="A95" s="2">
        <v>28824</v>
      </c>
      <c r="B95" s="3">
        <v>114.69</v>
      </c>
      <c r="C95">
        <f t="shared" si="3"/>
        <v>1978</v>
      </c>
      <c r="D95">
        <f t="shared" si="4"/>
        <v>11</v>
      </c>
      <c r="E95" s="7" cm="1">
        <f t="array" ref="E95">LOOKUP(12, D:D/(C:C = C95 - 1), B:B)</f>
        <v>105.05</v>
      </c>
      <c r="F95">
        <f t="shared" si="5"/>
        <v>1.0917658257972394</v>
      </c>
    </row>
    <row r="96" spans="1:6" ht="17" x14ac:dyDescent="0.25">
      <c r="A96" s="2">
        <v>28853</v>
      </c>
      <c r="B96" s="3">
        <v>117.98</v>
      </c>
      <c r="C96">
        <f t="shared" si="3"/>
        <v>1978</v>
      </c>
      <c r="D96">
        <f t="shared" si="4"/>
        <v>12</v>
      </c>
      <c r="E96" s="7" cm="1">
        <f t="array" ref="E96">LOOKUP(12, D:D/(C:C = C96 - 1), B:B)</f>
        <v>105.05</v>
      </c>
      <c r="F96">
        <f t="shared" si="5"/>
        <v>1.1230842455973347</v>
      </c>
    </row>
    <row r="97" spans="1:6" ht="17" x14ac:dyDescent="0.25">
      <c r="A97" s="2">
        <v>28886</v>
      </c>
      <c r="B97" s="3">
        <v>125.82</v>
      </c>
      <c r="C97">
        <f t="shared" si="3"/>
        <v>1979</v>
      </c>
      <c r="D97">
        <f t="shared" si="4"/>
        <v>1</v>
      </c>
      <c r="E97" s="7" cm="1">
        <f t="array" ref="E97">LOOKUP(12, D:D/(C:C = C97 - 1), B:B)</f>
        <v>117.98</v>
      </c>
      <c r="F97">
        <f t="shared" si="5"/>
        <v>1.0664519410069502</v>
      </c>
    </row>
    <row r="98" spans="1:6" ht="17" x14ac:dyDescent="0.25">
      <c r="A98" s="2">
        <v>28914</v>
      </c>
      <c r="B98" s="3">
        <v>122.56</v>
      </c>
      <c r="C98">
        <f t="shared" si="3"/>
        <v>1979</v>
      </c>
      <c r="D98">
        <f t="shared" si="4"/>
        <v>2</v>
      </c>
      <c r="E98" s="7" cm="1">
        <f t="array" ref="E98">LOOKUP(12, D:D/(C:C = C98 - 1), B:B)</f>
        <v>117.98</v>
      </c>
      <c r="F98">
        <f t="shared" si="5"/>
        <v>1.0388201390066112</v>
      </c>
    </row>
    <row r="99" spans="1:6" ht="17" x14ac:dyDescent="0.25">
      <c r="A99" s="2">
        <v>28944</v>
      </c>
      <c r="B99" s="3">
        <v>131.76</v>
      </c>
      <c r="C99">
        <f t="shared" si="3"/>
        <v>1979</v>
      </c>
      <c r="D99">
        <f t="shared" si="4"/>
        <v>3</v>
      </c>
      <c r="E99" s="7" cm="1">
        <f t="array" ref="E99">LOOKUP(12, D:D/(C:C = C99 - 1), B:B)</f>
        <v>117.98</v>
      </c>
      <c r="F99">
        <f t="shared" si="5"/>
        <v>1.1167994575351754</v>
      </c>
    </row>
    <row r="100" spans="1:6" ht="17" x14ac:dyDescent="0.25">
      <c r="A100" s="2">
        <v>28975</v>
      </c>
      <c r="B100" s="3">
        <v>133.82</v>
      </c>
      <c r="C100">
        <f t="shared" si="3"/>
        <v>1979</v>
      </c>
      <c r="D100">
        <f t="shared" si="4"/>
        <v>4</v>
      </c>
      <c r="E100" s="7" cm="1">
        <f t="array" ref="E100">LOOKUP(12, D:D/(C:C = C100 - 1), B:B)</f>
        <v>117.98</v>
      </c>
      <c r="F100">
        <f t="shared" si="5"/>
        <v>1.1342600440752668</v>
      </c>
    </row>
    <row r="101" spans="1:6" ht="17" x14ac:dyDescent="0.25">
      <c r="A101" s="2">
        <v>29006</v>
      </c>
      <c r="B101" s="3">
        <v>131.41999999999999</v>
      </c>
      <c r="C101">
        <f t="shared" si="3"/>
        <v>1979</v>
      </c>
      <c r="D101">
        <f t="shared" si="4"/>
        <v>5</v>
      </c>
      <c r="E101" s="7" cm="1">
        <f t="array" ref="E101">LOOKUP(12, D:D/(C:C = C101 - 1), B:B)</f>
        <v>117.98</v>
      </c>
      <c r="F101">
        <f t="shared" si="5"/>
        <v>1.1139176131547719</v>
      </c>
    </row>
    <row r="102" spans="1:6" ht="17" x14ac:dyDescent="0.25">
      <c r="A102" s="2">
        <v>29035</v>
      </c>
      <c r="B102" s="3">
        <v>138.13</v>
      </c>
      <c r="C102">
        <f t="shared" si="3"/>
        <v>1979</v>
      </c>
      <c r="D102">
        <f t="shared" si="4"/>
        <v>6</v>
      </c>
      <c r="E102" s="7" cm="1">
        <f t="array" ref="E102">LOOKUP(12, D:D/(C:C = C102 - 1), B:B)</f>
        <v>117.98</v>
      </c>
      <c r="F102">
        <f t="shared" si="5"/>
        <v>1.1707916596033225</v>
      </c>
    </row>
    <row r="103" spans="1:6" ht="17" x14ac:dyDescent="0.25">
      <c r="A103" s="2">
        <v>29067</v>
      </c>
      <c r="B103" s="3">
        <v>141.33000000000001</v>
      </c>
      <c r="C103">
        <f t="shared" si="3"/>
        <v>1979</v>
      </c>
      <c r="D103">
        <f t="shared" si="4"/>
        <v>7</v>
      </c>
      <c r="E103" s="7" cm="1">
        <f t="array" ref="E103">LOOKUP(12, D:D/(C:C = C103 - 1), B:B)</f>
        <v>117.98</v>
      </c>
      <c r="F103">
        <f t="shared" si="5"/>
        <v>1.1979149008306493</v>
      </c>
    </row>
    <row r="104" spans="1:6" ht="17" x14ac:dyDescent="0.25">
      <c r="A104" s="2">
        <v>29098</v>
      </c>
      <c r="B104" s="3">
        <v>150.44</v>
      </c>
      <c r="C104">
        <f t="shared" si="3"/>
        <v>1979</v>
      </c>
      <c r="D104">
        <f t="shared" si="4"/>
        <v>8</v>
      </c>
      <c r="E104" s="7" cm="1">
        <f t="array" ref="E104">LOOKUP(12, D:D/(C:C = C104 - 1), B:B)</f>
        <v>117.98</v>
      </c>
      <c r="F104">
        <f t="shared" si="5"/>
        <v>1.2751313781996949</v>
      </c>
    </row>
    <row r="105" spans="1:6" ht="17" x14ac:dyDescent="0.25">
      <c r="A105" s="2">
        <v>29126</v>
      </c>
      <c r="B105" s="3">
        <v>149.97999999999999</v>
      </c>
      <c r="C105">
        <f t="shared" si="3"/>
        <v>1979</v>
      </c>
      <c r="D105">
        <f t="shared" si="4"/>
        <v>9</v>
      </c>
      <c r="E105" s="7" cm="1">
        <f t="array" ref="E105">LOOKUP(12, D:D/(C:C = C105 - 1), B:B)</f>
        <v>117.98</v>
      </c>
      <c r="F105">
        <f t="shared" si="5"/>
        <v>1.2712324122732666</v>
      </c>
    </row>
    <row r="106" spans="1:6" ht="17" x14ac:dyDescent="0.25">
      <c r="A106" s="2">
        <v>29159</v>
      </c>
      <c r="B106" s="3">
        <v>135.53</v>
      </c>
      <c r="C106">
        <f t="shared" si="3"/>
        <v>1979</v>
      </c>
      <c r="D106">
        <f t="shared" si="4"/>
        <v>10</v>
      </c>
      <c r="E106" s="7" cm="1">
        <f t="array" ref="E106">LOOKUP(12, D:D/(C:C = C106 - 1), B:B)</f>
        <v>117.98</v>
      </c>
      <c r="F106">
        <f t="shared" si="5"/>
        <v>1.1487540261061195</v>
      </c>
    </row>
    <row r="107" spans="1:6" ht="17" x14ac:dyDescent="0.25">
      <c r="A107" s="2">
        <v>29189</v>
      </c>
      <c r="B107" s="3">
        <v>144.26</v>
      </c>
      <c r="C107">
        <f t="shared" si="3"/>
        <v>1979</v>
      </c>
      <c r="D107">
        <f t="shared" si="4"/>
        <v>11</v>
      </c>
      <c r="E107" s="7" cm="1">
        <f t="array" ref="E107">LOOKUP(12, D:D/(C:C = C107 - 1), B:B)</f>
        <v>117.98</v>
      </c>
      <c r="F107">
        <f t="shared" si="5"/>
        <v>1.2227496185794202</v>
      </c>
    </row>
    <row r="108" spans="1:6" ht="17" x14ac:dyDescent="0.25">
      <c r="A108" s="2">
        <v>29220</v>
      </c>
      <c r="B108" s="3">
        <v>151.13999999999999</v>
      </c>
      <c r="C108">
        <f t="shared" si="3"/>
        <v>1979</v>
      </c>
      <c r="D108">
        <f t="shared" si="4"/>
        <v>12</v>
      </c>
      <c r="E108" s="7" cm="1">
        <f t="array" ref="E108">LOOKUP(12, D:D/(C:C = C108 - 1), B:B)</f>
        <v>117.98</v>
      </c>
      <c r="F108">
        <f t="shared" si="5"/>
        <v>1.2810645872181725</v>
      </c>
    </row>
    <row r="109" spans="1:6" ht="17" x14ac:dyDescent="0.25">
      <c r="A109" s="2">
        <v>29251</v>
      </c>
      <c r="B109" s="3">
        <v>161.75</v>
      </c>
      <c r="C109">
        <f t="shared" si="3"/>
        <v>1980</v>
      </c>
      <c r="D109">
        <f t="shared" si="4"/>
        <v>1</v>
      </c>
      <c r="E109" s="7" cm="1">
        <f t="array" ref="E109">LOOKUP(12, D:D/(C:C = C109 - 1), B:B)</f>
        <v>151.13999999999999</v>
      </c>
      <c r="F109">
        <f t="shared" si="5"/>
        <v>1.0701998147412997</v>
      </c>
    </row>
    <row r="110" spans="1:6" ht="17" x14ac:dyDescent="0.25">
      <c r="A110" s="2">
        <v>29280</v>
      </c>
      <c r="B110" s="3">
        <v>158.03</v>
      </c>
      <c r="C110">
        <f t="shared" si="3"/>
        <v>1980</v>
      </c>
      <c r="D110">
        <f t="shared" si="4"/>
        <v>2</v>
      </c>
      <c r="E110" s="7" cm="1">
        <f t="array" ref="E110">LOOKUP(12, D:D/(C:C = C110 - 1), B:B)</f>
        <v>151.13999999999999</v>
      </c>
      <c r="F110">
        <f t="shared" si="5"/>
        <v>1.0455868730977902</v>
      </c>
    </row>
    <row r="111" spans="1:6" ht="17" x14ac:dyDescent="0.25">
      <c r="A111" s="2">
        <v>29311</v>
      </c>
      <c r="B111" s="3">
        <v>131</v>
      </c>
      <c r="C111">
        <f t="shared" si="3"/>
        <v>1980</v>
      </c>
      <c r="D111">
        <f t="shared" si="4"/>
        <v>3</v>
      </c>
      <c r="E111" s="7" cm="1">
        <f t="array" ref="E111">LOOKUP(12, D:D/(C:C = C111 - 1), B:B)</f>
        <v>151.13999999999999</v>
      </c>
      <c r="F111">
        <f t="shared" si="5"/>
        <v>0.8667460632526135</v>
      </c>
    </row>
    <row r="112" spans="1:6" ht="17" x14ac:dyDescent="0.25">
      <c r="A112" s="2">
        <v>29341</v>
      </c>
      <c r="B112" s="3">
        <v>139.99</v>
      </c>
      <c r="C112">
        <f t="shared" si="3"/>
        <v>1980</v>
      </c>
      <c r="D112">
        <f t="shared" si="4"/>
        <v>4</v>
      </c>
      <c r="E112" s="7" cm="1">
        <f t="array" ref="E112">LOOKUP(12, D:D/(C:C = C112 - 1), B:B)</f>
        <v>151.13999999999999</v>
      </c>
      <c r="F112">
        <f t="shared" si="5"/>
        <v>0.92622733889109454</v>
      </c>
    </row>
    <row r="113" spans="1:6" ht="17" x14ac:dyDescent="0.25">
      <c r="A113" s="2">
        <v>29371</v>
      </c>
      <c r="B113" s="3">
        <v>150.44999999999999</v>
      </c>
      <c r="C113">
        <f t="shared" si="3"/>
        <v>1980</v>
      </c>
      <c r="D113">
        <f t="shared" si="4"/>
        <v>5</v>
      </c>
      <c r="E113" s="7" cm="1">
        <f t="array" ref="E113">LOOKUP(12, D:D/(C:C = C113 - 1), B:B)</f>
        <v>151.13999999999999</v>
      </c>
      <c r="F113">
        <f t="shared" si="5"/>
        <v>0.99543469630805881</v>
      </c>
    </row>
    <row r="114" spans="1:6" ht="17" x14ac:dyDescent="0.25">
      <c r="A114" s="2">
        <v>29402</v>
      </c>
      <c r="B114" s="3">
        <v>157.78</v>
      </c>
      <c r="C114">
        <f t="shared" si="3"/>
        <v>1980</v>
      </c>
      <c r="D114">
        <f t="shared" si="4"/>
        <v>6</v>
      </c>
      <c r="E114" s="7" cm="1">
        <f t="array" ref="E114">LOOKUP(12, D:D/(C:C = C114 - 1), B:B)</f>
        <v>151.13999999999999</v>
      </c>
      <c r="F114">
        <f t="shared" si="5"/>
        <v>1.0439327775572318</v>
      </c>
    </row>
    <row r="115" spans="1:6" ht="17" x14ac:dyDescent="0.25">
      <c r="A115" s="2">
        <v>29433</v>
      </c>
      <c r="B115" s="3">
        <v>171.81</v>
      </c>
      <c r="C115">
        <f t="shared" si="3"/>
        <v>1980</v>
      </c>
      <c r="D115">
        <f t="shared" si="4"/>
        <v>7</v>
      </c>
      <c r="E115" s="7" cm="1">
        <f t="array" ref="E115">LOOKUP(12, D:D/(C:C = C115 - 1), B:B)</f>
        <v>151.13999999999999</v>
      </c>
      <c r="F115">
        <f t="shared" si="5"/>
        <v>1.1367606192933706</v>
      </c>
    </row>
    <row r="116" spans="1:6" ht="17" x14ac:dyDescent="0.25">
      <c r="A116" s="2">
        <v>29462</v>
      </c>
      <c r="B116" s="3">
        <v>181.52</v>
      </c>
      <c r="C116">
        <f t="shared" si="3"/>
        <v>1980</v>
      </c>
      <c r="D116">
        <f t="shared" si="4"/>
        <v>8</v>
      </c>
      <c r="E116" s="7" cm="1">
        <f t="array" ref="E116">LOOKUP(12, D:D/(C:C = C116 - 1), B:B)</f>
        <v>151.13999999999999</v>
      </c>
      <c r="F116">
        <f t="shared" si="5"/>
        <v>1.2010056900886596</v>
      </c>
    </row>
    <row r="117" spans="1:6" ht="17" x14ac:dyDescent="0.25">
      <c r="A117" s="2">
        <v>29494</v>
      </c>
      <c r="B117" s="3">
        <v>187.76</v>
      </c>
      <c r="C117">
        <f t="shared" si="3"/>
        <v>1980</v>
      </c>
      <c r="D117">
        <f t="shared" si="4"/>
        <v>9</v>
      </c>
      <c r="E117" s="7" cm="1">
        <f t="array" ref="E117">LOOKUP(12, D:D/(C:C = C117 - 1), B:B)</f>
        <v>151.13999999999999</v>
      </c>
      <c r="F117">
        <f t="shared" si="5"/>
        <v>1.2422919147809979</v>
      </c>
    </row>
    <row r="118" spans="1:6" ht="17" x14ac:dyDescent="0.25">
      <c r="A118" s="2">
        <v>29525</v>
      </c>
      <c r="B118" s="3">
        <v>192.78</v>
      </c>
      <c r="C118">
        <f t="shared" si="3"/>
        <v>1980</v>
      </c>
      <c r="D118">
        <f t="shared" si="4"/>
        <v>10</v>
      </c>
      <c r="E118" s="7" cm="1">
        <f t="array" ref="E118">LOOKUP(12, D:D/(C:C = C118 - 1), B:B)</f>
        <v>151.13999999999999</v>
      </c>
      <c r="F118">
        <f t="shared" si="5"/>
        <v>1.2755061532354111</v>
      </c>
    </row>
    <row r="119" spans="1:6" ht="17" x14ac:dyDescent="0.25">
      <c r="A119" s="2">
        <v>29553</v>
      </c>
      <c r="B119" s="3">
        <v>208.15</v>
      </c>
      <c r="C119">
        <f t="shared" si="3"/>
        <v>1980</v>
      </c>
      <c r="D119">
        <f t="shared" si="4"/>
        <v>11</v>
      </c>
      <c r="E119" s="7" cm="1">
        <f t="array" ref="E119">LOOKUP(12, D:D/(C:C = C119 - 1), B:B)</f>
        <v>151.13999999999999</v>
      </c>
      <c r="F119">
        <f t="shared" si="5"/>
        <v>1.3771999470689429</v>
      </c>
    </row>
    <row r="120" spans="1:6" ht="17" x14ac:dyDescent="0.25">
      <c r="A120" s="2">
        <v>29586</v>
      </c>
      <c r="B120" s="3">
        <v>202.34</v>
      </c>
      <c r="C120">
        <f t="shared" si="3"/>
        <v>1980</v>
      </c>
      <c r="D120">
        <f t="shared" si="4"/>
        <v>12</v>
      </c>
      <c r="E120" s="7" cm="1">
        <f t="array" ref="E120">LOOKUP(12, D:D/(C:C = C120 - 1), B:B)</f>
        <v>151.13999999999999</v>
      </c>
      <c r="F120">
        <f t="shared" si="5"/>
        <v>1.3387587667063652</v>
      </c>
    </row>
    <row r="121" spans="1:6" ht="17" x14ac:dyDescent="0.25">
      <c r="A121" s="2">
        <v>29616</v>
      </c>
      <c r="B121" s="3">
        <v>197.81</v>
      </c>
      <c r="C121">
        <f t="shared" si="3"/>
        <v>1981</v>
      </c>
      <c r="D121">
        <f t="shared" si="4"/>
        <v>1</v>
      </c>
      <c r="E121" s="7" cm="1">
        <f t="array" ref="E121">LOOKUP(12, D:D/(C:C = C121 - 1), B:B)</f>
        <v>202.34</v>
      </c>
      <c r="F121">
        <f t="shared" si="5"/>
        <v>0.97761194029850751</v>
      </c>
    </row>
    <row r="122" spans="1:6" ht="17" x14ac:dyDescent="0.25">
      <c r="A122" s="2">
        <v>29644</v>
      </c>
      <c r="B122" s="3">
        <v>198.01</v>
      </c>
      <c r="C122">
        <f t="shared" si="3"/>
        <v>1981</v>
      </c>
      <c r="D122">
        <f t="shared" si="4"/>
        <v>2</v>
      </c>
      <c r="E122" s="7" cm="1">
        <f t="array" ref="E122">LOOKUP(12, D:D/(C:C = C122 - 1), B:B)</f>
        <v>202.34</v>
      </c>
      <c r="F122">
        <f t="shared" si="5"/>
        <v>0.97860037560541657</v>
      </c>
    </row>
    <row r="123" spans="1:6" ht="17" x14ac:dyDescent="0.25">
      <c r="A123" s="2">
        <v>29676</v>
      </c>
      <c r="B123" s="3">
        <v>210.18</v>
      </c>
      <c r="C123">
        <f t="shared" si="3"/>
        <v>1981</v>
      </c>
      <c r="D123">
        <f t="shared" si="4"/>
        <v>3</v>
      </c>
      <c r="E123" s="7" cm="1">
        <f t="array" ref="E123">LOOKUP(12, D:D/(C:C = C123 - 1), B:B)</f>
        <v>202.34</v>
      </c>
      <c r="F123">
        <f t="shared" si="5"/>
        <v>1.0387466640308392</v>
      </c>
    </row>
    <row r="124" spans="1:6" ht="17" x14ac:dyDescent="0.25">
      <c r="A124" s="2">
        <v>29706</v>
      </c>
      <c r="B124" s="3">
        <v>216.74</v>
      </c>
      <c r="C124">
        <f t="shared" si="3"/>
        <v>1981</v>
      </c>
      <c r="D124">
        <f t="shared" si="4"/>
        <v>4</v>
      </c>
      <c r="E124" s="7" cm="1">
        <f t="array" ref="E124">LOOKUP(12, D:D/(C:C = C124 - 1), B:B)</f>
        <v>202.34</v>
      </c>
      <c r="F124">
        <f t="shared" si="5"/>
        <v>1.0711673420974597</v>
      </c>
    </row>
    <row r="125" spans="1:6" ht="17" x14ac:dyDescent="0.25">
      <c r="A125" s="2">
        <v>29735</v>
      </c>
      <c r="B125" s="3">
        <v>223.47</v>
      </c>
      <c r="C125">
        <f t="shared" si="3"/>
        <v>1981</v>
      </c>
      <c r="D125">
        <f t="shared" si="4"/>
        <v>5</v>
      </c>
      <c r="E125" s="7" cm="1">
        <f t="array" ref="E125">LOOKUP(12, D:D/(C:C = C125 - 1), B:B)</f>
        <v>202.34</v>
      </c>
      <c r="F125">
        <f t="shared" si="5"/>
        <v>1.1044281901749531</v>
      </c>
    </row>
    <row r="126" spans="1:6" ht="17" x14ac:dyDescent="0.25">
      <c r="A126" s="2">
        <v>29767</v>
      </c>
      <c r="B126" s="3">
        <v>215.75</v>
      </c>
      <c r="C126">
        <f t="shared" si="3"/>
        <v>1981</v>
      </c>
      <c r="D126">
        <f t="shared" si="4"/>
        <v>6</v>
      </c>
      <c r="E126" s="7" cm="1">
        <f t="array" ref="E126">LOOKUP(12, D:D/(C:C = C126 - 1), B:B)</f>
        <v>202.34</v>
      </c>
      <c r="F126">
        <f t="shared" si="5"/>
        <v>1.0662745873282593</v>
      </c>
    </row>
    <row r="127" spans="1:6" ht="17" x14ac:dyDescent="0.25">
      <c r="A127" s="2">
        <v>29798</v>
      </c>
      <c r="B127" s="3">
        <v>211.63</v>
      </c>
      <c r="C127">
        <f t="shared" si="3"/>
        <v>1981</v>
      </c>
      <c r="D127">
        <f t="shared" si="4"/>
        <v>7</v>
      </c>
      <c r="E127" s="7" cm="1">
        <f t="array" ref="E127">LOOKUP(12, D:D/(C:C = C127 - 1), B:B)</f>
        <v>202.34</v>
      </c>
      <c r="F127">
        <f t="shared" si="5"/>
        <v>1.0459128200059307</v>
      </c>
    </row>
    <row r="128" spans="1:6" ht="17" x14ac:dyDescent="0.25">
      <c r="A128" s="2">
        <v>29829</v>
      </c>
      <c r="B128" s="3">
        <v>195.75</v>
      </c>
      <c r="C128">
        <f t="shared" si="3"/>
        <v>1981</v>
      </c>
      <c r="D128">
        <f t="shared" si="4"/>
        <v>8</v>
      </c>
      <c r="E128" s="7" cm="1">
        <f t="array" ref="E128">LOOKUP(12, D:D/(C:C = C128 - 1), B:B)</f>
        <v>202.34</v>
      </c>
      <c r="F128">
        <f t="shared" si="5"/>
        <v>0.96743105663734308</v>
      </c>
    </row>
    <row r="129" spans="1:6" ht="17" x14ac:dyDescent="0.25">
      <c r="A129" s="2">
        <v>29859</v>
      </c>
      <c r="B129" s="3">
        <v>180.03</v>
      </c>
      <c r="C129">
        <f t="shared" si="3"/>
        <v>1981</v>
      </c>
      <c r="D129">
        <f t="shared" si="4"/>
        <v>9</v>
      </c>
      <c r="E129" s="7" cm="1">
        <f t="array" ref="E129">LOOKUP(12, D:D/(C:C = C129 - 1), B:B)</f>
        <v>202.34</v>
      </c>
      <c r="F129">
        <f t="shared" si="5"/>
        <v>0.88974004151428288</v>
      </c>
    </row>
    <row r="130" spans="1:6" ht="17" x14ac:dyDescent="0.25">
      <c r="A130" s="2">
        <v>29889</v>
      </c>
      <c r="B130" s="3">
        <v>195.24</v>
      </c>
      <c r="C130">
        <f t="shared" ref="C130:C193" si="6">YEAR(A130)</f>
        <v>1981</v>
      </c>
      <c r="D130">
        <f t="shared" ref="D130:D193" si="7">MONTH(A130)</f>
        <v>10</v>
      </c>
      <c r="E130" s="7" cm="1">
        <f t="array" ref="E130">LOOKUP(12, D:D/(C:C = C130 - 1), B:B)</f>
        <v>202.34</v>
      </c>
      <c r="F130">
        <f t="shared" si="5"/>
        <v>0.96491054660472475</v>
      </c>
    </row>
    <row r="131" spans="1:6" ht="17" x14ac:dyDescent="0.25">
      <c r="A131" s="2">
        <v>29920</v>
      </c>
      <c r="B131" s="3">
        <v>201.37</v>
      </c>
      <c r="C131">
        <f t="shared" si="6"/>
        <v>1981</v>
      </c>
      <c r="D131">
        <f t="shared" si="7"/>
        <v>11</v>
      </c>
      <c r="E131" s="7" cm="1">
        <f t="array" ref="E131">LOOKUP(12, D:D/(C:C = C131 - 1), B:B)</f>
        <v>202.34</v>
      </c>
      <c r="F131">
        <f t="shared" ref="F131:F194" si="8">B131/E131</f>
        <v>0.99520608876149053</v>
      </c>
    </row>
    <row r="132" spans="1:6" ht="17" x14ac:dyDescent="0.25">
      <c r="A132" s="2">
        <v>29951</v>
      </c>
      <c r="B132" s="3">
        <v>195.84</v>
      </c>
      <c r="C132">
        <f t="shared" si="6"/>
        <v>1981</v>
      </c>
      <c r="D132">
        <f t="shared" si="7"/>
        <v>12</v>
      </c>
      <c r="E132" s="7" cm="1">
        <f t="array" ref="E132">LOOKUP(12, D:D/(C:C = C132 - 1), B:B)</f>
        <v>202.34</v>
      </c>
      <c r="F132">
        <f t="shared" si="8"/>
        <v>0.96787585252545216</v>
      </c>
    </row>
    <row r="133" spans="1:6" ht="17" x14ac:dyDescent="0.25">
      <c r="A133" s="2">
        <v>29980</v>
      </c>
      <c r="B133" s="3">
        <v>188.39</v>
      </c>
      <c r="C133">
        <f t="shared" si="6"/>
        <v>1982</v>
      </c>
      <c r="D133">
        <f t="shared" si="7"/>
        <v>1</v>
      </c>
      <c r="E133" s="7" cm="1">
        <f t="array" ref="E133">LOOKUP(12, D:D/(C:C = C133 - 1), B:B)</f>
        <v>195.84</v>
      </c>
      <c r="F133">
        <f t="shared" si="8"/>
        <v>0.96195874183006524</v>
      </c>
    </row>
    <row r="134" spans="1:6" ht="17" x14ac:dyDescent="0.25">
      <c r="A134" s="2">
        <v>30008</v>
      </c>
      <c r="B134" s="3">
        <v>179.43</v>
      </c>
      <c r="C134">
        <f t="shared" si="6"/>
        <v>1982</v>
      </c>
      <c r="D134">
        <f t="shared" si="7"/>
        <v>2</v>
      </c>
      <c r="E134" s="7" cm="1">
        <f t="array" ref="E134">LOOKUP(12, D:D/(C:C = C134 - 1), B:B)</f>
        <v>195.84</v>
      </c>
      <c r="F134">
        <f t="shared" si="8"/>
        <v>0.9162071078431373</v>
      </c>
    </row>
    <row r="135" spans="1:6" ht="17" x14ac:dyDescent="0.25">
      <c r="A135" s="2">
        <v>30041</v>
      </c>
      <c r="B135" s="3">
        <v>175.65</v>
      </c>
      <c r="C135">
        <f t="shared" si="6"/>
        <v>1982</v>
      </c>
      <c r="D135">
        <f t="shared" si="7"/>
        <v>3</v>
      </c>
      <c r="E135" s="7" cm="1">
        <f t="array" ref="E135">LOOKUP(12, D:D/(C:C = C135 - 1), B:B)</f>
        <v>195.84</v>
      </c>
      <c r="F135">
        <f t="shared" si="8"/>
        <v>0.89690563725490202</v>
      </c>
    </row>
    <row r="136" spans="1:6" ht="17" x14ac:dyDescent="0.25">
      <c r="A136" s="2">
        <v>30071</v>
      </c>
      <c r="B136" s="3">
        <v>184.7</v>
      </c>
      <c r="C136">
        <f t="shared" si="6"/>
        <v>1982</v>
      </c>
      <c r="D136">
        <f t="shared" si="7"/>
        <v>4</v>
      </c>
      <c r="E136" s="7" cm="1">
        <f t="array" ref="E136">LOOKUP(12, D:D/(C:C = C136 - 1), B:B)</f>
        <v>195.84</v>
      </c>
      <c r="F136">
        <f t="shared" si="8"/>
        <v>0.9431168300653594</v>
      </c>
    </row>
    <row r="137" spans="1:6" ht="17" x14ac:dyDescent="0.25">
      <c r="A137" s="2">
        <v>30099</v>
      </c>
      <c r="B137" s="3">
        <v>178.54</v>
      </c>
      <c r="C137">
        <f t="shared" si="6"/>
        <v>1982</v>
      </c>
      <c r="D137">
        <f t="shared" si="7"/>
        <v>5</v>
      </c>
      <c r="E137" s="7" cm="1">
        <f t="array" ref="E137">LOOKUP(12, D:D/(C:C = C137 - 1), B:B)</f>
        <v>195.84</v>
      </c>
      <c r="F137">
        <f t="shared" si="8"/>
        <v>0.91166258169934633</v>
      </c>
    </row>
    <row r="138" spans="1:6" ht="17" x14ac:dyDescent="0.25">
      <c r="A138" s="2">
        <v>30132</v>
      </c>
      <c r="B138" s="3">
        <v>171.3</v>
      </c>
      <c r="C138">
        <f t="shared" si="6"/>
        <v>1982</v>
      </c>
      <c r="D138">
        <f t="shared" si="7"/>
        <v>6</v>
      </c>
      <c r="E138" s="7" cm="1">
        <f t="array" ref="E138">LOOKUP(12, D:D/(C:C = C138 - 1), B:B)</f>
        <v>195.84</v>
      </c>
      <c r="F138">
        <f t="shared" si="8"/>
        <v>0.87469362745098045</v>
      </c>
    </row>
    <row r="139" spans="1:6" ht="17" x14ac:dyDescent="0.25">
      <c r="A139" s="2">
        <v>30162</v>
      </c>
      <c r="B139" s="3">
        <v>167.35</v>
      </c>
      <c r="C139">
        <f t="shared" si="6"/>
        <v>1982</v>
      </c>
      <c r="D139">
        <f t="shared" si="7"/>
        <v>7</v>
      </c>
      <c r="E139" s="7" cm="1">
        <f t="array" ref="E139">LOOKUP(12, D:D/(C:C = C139 - 1), B:B)</f>
        <v>195.84</v>
      </c>
      <c r="F139">
        <f t="shared" si="8"/>
        <v>0.85452410130718948</v>
      </c>
    </row>
    <row r="140" spans="1:6" ht="17" x14ac:dyDescent="0.25">
      <c r="A140" s="2">
        <v>30194</v>
      </c>
      <c r="B140" s="3">
        <v>177.71</v>
      </c>
      <c r="C140">
        <f t="shared" si="6"/>
        <v>1982</v>
      </c>
      <c r="D140">
        <f t="shared" si="7"/>
        <v>8</v>
      </c>
      <c r="E140" s="7" cm="1">
        <f t="array" ref="E140">LOOKUP(12, D:D/(C:C = C140 - 1), B:B)</f>
        <v>195.84</v>
      </c>
      <c r="F140">
        <f t="shared" si="8"/>
        <v>0.90742442810457524</v>
      </c>
    </row>
    <row r="141" spans="1:6" ht="17" x14ac:dyDescent="0.25">
      <c r="A141" s="2">
        <v>30224</v>
      </c>
      <c r="B141" s="3">
        <v>187.65</v>
      </c>
      <c r="C141">
        <f t="shared" si="6"/>
        <v>1982</v>
      </c>
      <c r="D141">
        <f t="shared" si="7"/>
        <v>9</v>
      </c>
      <c r="E141" s="7" cm="1">
        <f t="array" ref="E141">LOOKUP(12, D:D/(C:C = C141 - 1), B:B)</f>
        <v>195.84</v>
      </c>
      <c r="F141">
        <f t="shared" si="8"/>
        <v>0.95818014705882359</v>
      </c>
    </row>
    <row r="142" spans="1:6" ht="17" x14ac:dyDescent="0.25">
      <c r="A142" s="2">
        <v>30253</v>
      </c>
      <c r="B142" s="3">
        <v>212.63</v>
      </c>
      <c r="C142">
        <f t="shared" si="6"/>
        <v>1982</v>
      </c>
      <c r="D142">
        <f t="shared" si="7"/>
        <v>10</v>
      </c>
      <c r="E142" s="7" cm="1">
        <f t="array" ref="E142">LOOKUP(12, D:D/(C:C = C142 - 1), B:B)</f>
        <v>195.84</v>
      </c>
      <c r="F142">
        <f t="shared" si="8"/>
        <v>1.0857332516339868</v>
      </c>
    </row>
    <row r="143" spans="1:6" ht="17" x14ac:dyDescent="0.25">
      <c r="A143" s="2">
        <v>30285</v>
      </c>
      <c r="B143" s="3">
        <v>232.31</v>
      </c>
      <c r="C143">
        <f t="shared" si="6"/>
        <v>1982</v>
      </c>
      <c r="D143">
        <f t="shared" si="7"/>
        <v>11</v>
      </c>
      <c r="E143" s="7" cm="1">
        <f t="array" ref="E143">LOOKUP(12, D:D/(C:C = C143 - 1), B:B)</f>
        <v>195.84</v>
      </c>
      <c r="F143">
        <f t="shared" si="8"/>
        <v>1.1862234477124183</v>
      </c>
    </row>
    <row r="144" spans="1:6" ht="17" x14ac:dyDescent="0.25">
      <c r="A144" s="2">
        <v>30316</v>
      </c>
      <c r="B144" s="3">
        <v>232.41</v>
      </c>
      <c r="C144">
        <f t="shared" si="6"/>
        <v>1982</v>
      </c>
      <c r="D144">
        <f t="shared" si="7"/>
        <v>12</v>
      </c>
      <c r="E144" s="7" cm="1">
        <f t="array" ref="E144">LOOKUP(12, D:D/(C:C = C144 - 1), B:B)</f>
        <v>195.84</v>
      </c>
      <c r="F144">
        <f t="shared" si="8"/>
        <v>1.186734068627451</v>
      </c>
    </row>
    <row r="145" spans="1:6" ht="17" x14ac:dyDescent="0.25">
      <c r="A145" s="2">
        <v>30347</v>
      </c>
      <c r="B145" s="3">
        <v>248.35</v>
      </c>
      <c r="C145">
        <f t="shared" si="6"/>
        <v>1983</v>
      </c>
      <c r="D145">
        <f t="shared" si="7"/>
        <v>1</v>
      </c>
      <c r="E145" s="7" cm="1">
        <f t="array" ref="E145">LOOKUP(12, D:D/(C:C = C145 - 1), B:B)</f>
        <v>232.41</v>
      </c>
      <c r="F145">
        <f t="shared" si="8"/>
        <v>1.0685856890839465</v>
      </c>
    </row>
    <row r="146" spans="1:6" ht="17" x14ac:dyDescent="0.25">
      <c r="A146" s="2">
        <v>30375</v>
      </c>
      <c r="B146" s="3">
        <v>260.67</v>
      </c>
      <c r="C146">
        <f t="shared" si="6"/>
        <v>1983</v>
      </c>
      <c r="D146">
        <f t="shared" si="7"/>
        <v>2</v>
      </c>
      <c r="E146" s="7" cm="1">
        <f t="array" ref="E146">LOOKUP(12, D:D/(C:C = C146 - 1), B:B)</f>
        <v>232.41</v>
      </c>
      <c r="F146">
        <f t="shared" si="8"/>
        <v>1.1215954563056667</v>
      </c>
    </row>
    <row r="147" spans="1:6" ht="17" x14ac:dyDescent="0.25">
      <c r="A147" s="2">
        <v>30406</v>
      </c>
      <c r="B147" s="3">
        <v>270.8</v>
      </c>
      <c r="C147">
        <f t="shared" si="6"/>
        <v>1983</v>
      </c>
      <c r="D147">
        <f t="shared" si="7"/>
        <v>3</v>
      </c>
      <c r="E147" s="7" cm="1">
        <f t="array" ref="E147">LOOKUP(12, D:D/(C:C = C147 - 1), B:B)</f>
        <v>232.41</v>
      </c>
      <c r="F147">
        <f t="shared" si="8"/>
        <v>1.1651822210748248</v>
      </c>
    </row>
    <row r="148" spans="1:6" ht="17" x14ac:dyDescent="0.25">
      <c r="A148" s="2">
        <v>30435</v>
      </c>
      <c r="B148" s="3">
        <v>293.06</v>
      </c>
      <c r="C148">
        <f t="shared" si="6"/>
        <v>1983</v>
      </c>
      <c r="D148">
        <f t="shared" si="7"/>
        <v>4</v>
      </c>
      <c r="E148" s="7" cm="1">
        <f t="array" ref="E148">LOOKUP(12, D:D/(C:C = C148 - 1), B:B)</f>
        <v>232.41</v>
      </c>
      <c r="F148">
        <f t="shared" si="8"/>
        <v>1.2609612323049784</v>
      </c>
    </row>
    <row r="149" spans="1:6" ht="17" x14ac:dyDescent="0.25">
      <c r="A149" s="2">
        <v>30467</v>
      </c>
      <c r="B149" s="3">
        <v>308.73</v>
      </c>
      <c r="C149">
        <f t="shared" si="6"/>
        <v>1983</v>
      </c>
      <c r="D149">
        <f t="shared" si="7"/>
        <v>5</v>
      </c>
      <c r="E149" s="7" cm="1">
        <f t="array" ref="E149">LOOKUP(12, D:D/(C:C = C149 - 1), B:B)</f>
        <v>232.41</v>
      </c>
      <c r="F149">
        <f t="shared" si="8"/>
        <v>1.3283851813605267</v>
      </c>
    </row>
    <row r="150" spans="1:6" ht="17" x14ac:dyDescent="0.25">
      <c r="A150" s="2">
        <v>30497</v>
      </c>
      <c r="B150" s="3">
        <v>318.7</v>
      </c>
      <c r="C150">
        <f t="shared" si="6"/>
        <v>1983</v>
      </c>
      <c r="D150">
        <f t="shared" si="7"/>
        <v>6</v>
      </c>
      <c r="E150" s="7" cm="1">
        <f t="array" ref="E150">LOOKUP(12, D:D/(C:C = C150 - 1), B:B)</f>
        <v>232.41</v>
      </c>
      <c r="F150">
        <f t="shared" si="8"/>
        <v>1.3712835075943375</v>
      </c>
    </row>
    <row r="151" spans="1:6" ht="17" x14ac:dyDescent="0.25">
      <c r="A151" s="2">
        <v>30526</v>
      </c>
      <c r="B151" s="3">
        <v>303.95999999999998</v>
      </c>
      <c r="C151">
        <f t="shared" si="6"/>
        <v>1983</v>
      </c>
      <c r="D151">
        <f t="shared" si="7"/>
        <v>7</v>
      </c>
      <c r="E151" s="7" cm="1">
        <f t="array" ref="E151">LOOKUP(12, D:D/(C:C = C151 - 1), B:B)</f>
        <v>232.41</v>
      </c>
      <c r="F151">
        <f t="shared" si="8"/>
        <v>1.3078611075254936</v>
      </c>
    </row>
    <row r="152" spans="1:6" ht="17" x14ac:dyDescent="0.25">
      <c r="A152" s="2">
        <v>30559</v>
      </c>
      <c r="B152" s="3">
        <v>292.42</v>
      </c>
      <c r="C152">
        <f t="shared" si="6"/>
        <v>1983</v>
      </c>
      <c r="D152">
        <f t="shared" si="7"/>
        <v>8</v>
      </c>
      <c r="E152" s="7" cm="1">
        <f t="array" ref="E152">LOOKUP(12, D:D/(C:C = C152 - 1), B:B)</f>
        <v>232.41</v>
      </c>
      <c r="F152">
        <f t="shared" si="8"/>
        <v>1.2582074781635904</v>
      </c>
    </row>
    <row r="153" spans="1:6" ht="17" x14ac:dyDescent="0.25">
      <c r="A153" s="2">
        <v>30589</v>
      </c>
      <c r="B153" s="3">
        <v>296.64999999999998</v>
      </c>
      <c r="C153">
        <f t="shared" si="6"/>
        <v>1983</v>
      </c>
      <c r="D153">
        <f t="shared" si="7"/>
        <v>9</v>
      </c>
      <c r="E153" s="7" cm="1">
        <f t="array" ref="E153">LOOKUP(12, D:D/(C:C = C153 - 1), B:B)</f>
        <v>232.41</v>
      </c>
      <c r="F153">
        <f t="shared" si="8"/>
        <v>1.2764080719418269</v>
      </c>
    </row>
    <row r="154" spans="1:6" ht="17" x14ac:dyDescent="0.25">
      <c r="A154" s="2">
        <v>30620</v>
      </c>
      <c r="B154" s="3">
        <v>274.55</v>
      </c>
      <c r="C154">
        <f t="shared" si="6"/>
        <v>1983</v>
      </c>
      <c r="D154">
        <f t="shared" si="7"/>
        <v>10</v>
      </c>
      <c r="E154" s="7" cm="1">
        <f t="array" ref="E154">LOOKUP(12, D:D/(C:C = C154 - 1), B:B)</f>
        <v>232.41</v>
      </c>
      <c r="F154">
        <f t="shared" si="8"/>
        <v>1.1813174992470203</v>
      </c>
    </row>
    <row r="155" spans="1:6" ht="17" x14ac:dyDescent="0.25">
      <c r="A155" s="2">
        <v>30650</v>
      </c>
      <c r="B155" s="3">
        <v>285.67</v>
      </c>
      <c r="C155">
        <f t="shared" si="6"/>
        <v>1983</v>
      </c>
      <c r="D155">
        <f t="shared" si="7"/>
        <v>11</v>
      </c>
      <c r="E155" s="7" cm="1">
        <f t="array" ref="E155">LOOKUP(12, D:D/(C:C = C155 - 1), B:B)</f>
        <v>232.41</v>
      </c>
      <c r="F155">
        <f t="shared" si="8"/>
        <v>1.229163977453638</v>
      </c>
    </row>
    <row r="156" spans="1:6" ht="17" x14ac:dyDescent="0.25">
      <c r="A156" s="2">
        <v>30680</v>
      </c>
      <c r="B156" s="3">
        <v>278.60000000000002</v>
      </c>
      <c r="C156">
        <f t="shared" si="6"/>
        <v>1983</v>
      </c>
      <c r="D156">
        <f t="shared" si="7"/>
        <v>12</v>
      </c>
      <c r="E156" s="7" cm="1">
        <f t="array" ref="E156">LOOKUP(12, D:D/(C:C = C156 - 1), B:B)</f>
        <v>232.41</v>
      </c>
      <c r="F156">
        <f t="shared" si="8"/>
        <v>1.1987435996729918</v>
      </c>
    </row>
    <row r="157" spans="1:6" ht="17" x14ac:dyDescent="0.25">
      <c r="A157" s="2">
        <v>30712</v>
      </c>
      <c r="B157" s="3">
        <v>268.43</v>
      </c>
      <c r="C157">
        <f t="shared" si="6"/>
        <v>1984</v>
      </c>
      <c r="D157">
        <f t="shared" si="7"/>
        <v>1</v>
      </c>
      <c r="E157" s="7" cm="1">
        <f t="array" ref="E157">LOOKUP(12, D:D/(C:C = C157 - 1), B:B)</f>
        <v>278.60000000000002</v>
      </c>
      <c r="F157">
        <f t="shared" si="8"/>
        <v>0.96349605168700636</v>
      </c>
    </row>
    <row r="158" spans="1:6" ht="17" x14ac:dyDescent="0.25">
      <c r="A158" s="2">
        <v>30741</v>
      </c>
      <c r="B158" s="3">
        <v>252.57</v>
      </c>
      <c r="C158">
        <f t="shared" si="6"/>
        <v>1984</v>
      </c>
      <c r="D158">
        <f t="shared" si="7"/>
        <v>2</v>
      </c>
      <c r="E158" s="7" cm="1">
        <f t="array" ref="E158">LOOKUP(12, D:D/(C:C = C158 - 1), B:B)</f>
        <v>278.60000000000002</v>
      </c>
      <c r="F158">
        <f t="shared" si="8"/>
        <v>0.90656855707106954</v>
      </c>
    </row>
    <row r="159" spans="1:6" ht="17" x14ac:dyDescent="0.25">
      <c r="A159" s="2">
        <v>30771</v>
      </c>
      <c r="B159" s="3">
        <v>250.78</v>
      </c>
      <c r="C159">
        <f t="shared" si="6"/>
        <v>1984</v>
      </c>
      <c r="D159">
        <f t="shared" si="7"/>
        <v>3</v>
      </c>
      <c r="E159" s="7" cm="1">
        <f t="array" ref="E159">LOOKUP(12, D:D/(C:C = C159 - 1), B:B)</f>
        <v>278.60000000000002</v>
      </c>
      <c r="F159">
        <f t="shared" si="8"/>
        <v>0.90014357501794684</v>
      </c>
    </row>
    <row r="160" spans="1:6" ht="17" x14ac:dyDescent="0.25">
      <c r="A160" s="2">
        <v>30802</v>
      </c>
      <c r="B160" s="3">
        <v>247.44</v>
      </c>
      <c r="C160">
        <f t="shared" si="6"/>
        <v>1984</v>
      </c>
      <c r="D160">
        <f t="shared" si="7"/>
        <v>4</v>
      </c>
      <c r="E160" s="7" cm="1">
        <f t="array" ref="E160">LOOKUP(12, D:D/(C:C = C160 - 1), B:B)</f>
        <v>278.60000000000002</v>
      </c>
      <c r="F160">
        <f t="shared" si="8"/>
        <v>0.88815506101938257</v>
      </c>
    </row>
    <row r="161" spans="1:6" ht="17" x14ac:dyDescent="0.25">
      <c r="A161" s="2">
        <v>30833</v>
      </c>
      <c r="B161" s="3">
        <v>232.82</v>
      </c>
      <c r="C161">
        <f t="shared" si="6"/>
        <v>1984</v>
      </c>
      <c r="D161">
        <f t="shared" si="7"/>
        <v>5</v>
      </c>
      <c r="E161" s="7" cm="1">
        <f t="array" ref="E161">LOOKUP(12, D:D/(C:C = C161 - 1), B:B)</f>
        <v>278.60000000000002</v>
      </c>
      <c r="F161">
        <f t="shared" si="8"/>
        <v>0.83567839195979887</v>
      </c>
    </row>
    <row r="162" spans="1:6" ht="17" x14ac:dyDescent="0.25">
      <c r="A162" s="2">
        <v>30862</v>
      </c>
      <c r="B162" s="3">
        <v>239.65</v>
      </c>
      <c r="C162">
        <f t="shared" si="6"/>
        <v>1984</v>
      </c>
      <c r="D162">
        <f t="shared" si="7"/>
        <v>6</v>
      </c>
      <c r="E162" s="7" cm="1">
        <f t="array" ref="E162">LOOKUP(12, D:D/(C:C = C162 - 1), B:B)</f>
        <v>278.60000000000002</v>
      </c>
      <c r="F162">
        <f t="shared" si="8"/>
        <v>0.86019382627422825</v>
      </c>
    </row>
    <row r="163" spans="1:6" ht="17" x14ac:dyDescent="0.25">
      <c r="A163" s="2">
        <v>30894</v>
      </c>
      <c r="B163" s="3">
        <v>229.7</v>
      </c>
      <c r="C163">
        <f t="shared" si="6"/>
        <v>1984</v>
      </c>
      <c r="D163">
        <f t="shared" si="7"/>
        <v>7</v>
      </c>
      <c r="E163" s="7" cm="1">
        <f t="array" ref="E163">LOOKUP(12, D:D/(C:C = C163 - 1), B:B)</f>
        <v>278.60000000000002</v>
      </c>
      <c r="F163">
        <f t="shared" si="8"/>
        <v>0.82447954055994244</v>
      </c>
    </row>
    <row r="164" spans="1:6" ht="17" x14ac:dyDescent="0.25">
      <c r="A164" s="2">
        <v>30925</v>
      </c>
      <c r="B164" s="3">
        <v>254.64</v>
      </c>
      <c r="C164">
        <f t="shared" si="6"/>
        <v>1984</v>
      </c>
      <c r="D164">
        <f t="shared" si="7"/>
        <v>8</v>
      </c>
      <c r="E164" s="7" cm="1">
        <f t="array" ref="E164">LOOKUP(12, D:D/(C:C = C164 - 1), B:B)</f>
        <v>278.60000000000002</v>
      </c>
      <c r="F164">
        <f t="shared" si="8"/>
        <v>0.9139985642498204</v>
      </c>
    </row>
    <row r="165" spans="1:6" ht="17" x14ac:dyDescent="0.25">
      <c r="A165" s="2">
        <v>30953</v>
      </c>
      <c r="B165" s="3">
        <v>249.94</v>
      </c>
      <c r="C165">
        <f t="shared" si="6"/>
        <v>1984</v>
      </c>
      <c r="D165">
        <f t="shared" si="7"/>
        <v>9</v>
      </c>
      <c r="E165" s="7" cm="1">
        <f t="array" ref="E165">LOOKUP(12, D:D/(C:C = C165 - 1), B:B)</f>
        <v>278.60000000000002</v>
      </c>
      <c r="F165">
        <f t="shared" si="8"/>
        <v>0.89712849964106234</v>
      </c>
    </row>
    <row r="166" spans="1:6" ht="17" x14ac:dyDescent="0.25">
      <c r="A166" s="2">
        <v>30986</v>
      </c>
      <c r="B166" s="3">
        <v>247</v>
      </c>
      <c r="C166">
        <f t="shared" si="6"/>
        <v>1984</v>
      </c>
      <c r="D166">
        <f t="shared" si="7"/>
        <v>10</v>
      </c>
      <c r="E166" s="7" cm="1">
        <f t="array" ref="E166">LOOKUP(12, D:D/(C:C = C166 - 1), B:B)</f>
        <v>278.60000000000002</v>
      </c>
      <c r="F166">
        <f t="shared" si="8"/>
        <v>0.88657573582196691</v>
      </c>
    </row>
    <row r="167" spans="1:6" ht="17" x14ac:dyDescent="0.25">
      <c r="A167" s="2">
        <v>31016</v>
      </c>
      <c r="B167" s="3">
        <v>242.4</v>
      </c>
      <c r="C167">
        <f t="shared" si="6"/>
        <v>1984</v>
      </c>
      <c r="D167">
        <f t="shared" si="7"/>
        <v>11</v>
      </c>
      <c r="E167" s="7" cm="1">
        <f t="array" ref="E167">LOOKUP(12, D:D/(C:C = C167 - 1), B:B)</f>
        <v>278.60000000000002</v>
      </c>
      <c r="F167">
        <f t="shared" si="8"/>
        <v>0.87006460875807601</v>
      </c>
    </row>
    <row r="168" spans="1:6" ht="17" x14ac:dyDescent="0.25">
      <c r="A168" s="2">
        <v>31047</v>
      </c>
      <c r="B168" s="3">
        <v>247.1</v>
      </c>
      <c r="C168">
        <f t="shared" si="6"/>
        <v>1984</v>
      </c>
      <c r="D168">
        <f t="shared" si="7"/>
        <v>12</v>
      </c>
      <c r="E168" s="7" cm="1">
        <f t="array" ref="E168">LOOKUP(12, D:D/(C:C = C168 - 1), B:B)</f>
        <v>278.60000000000002</v>
      </c>
      <c r="F168">
        <f t="shared" si="8"/>
        <v>0.88693467336683407</v>
      </c>
    </row>
    <row r="169" spans="1:6" ht="17" x14ac:dyDescent="0.25">
      <c r="A169" s="2">
        <v>31078</v>
      </c>
      <c r="B169" s="3">
        <v>278.7</v>
      </c>
      <c r="C169">
        <f t="shared" si="6"/>
        <v>1985</v>
      </c>
      <c r="D169">
        <f t="shared" si="7"/>
        <v>1</v>
      </c>
      <c r="E169" s="7" cm="1">
        <f t="array" ref="E169">LOOKUP(12, D:D/(C:C = C169 - 1), B:B)</f>
        <v>247.1</v>
      </c>
      <c r="F169">
        <f t="shared" si="8"/>
        <v>1.1278834479967623</v>
      </c>
    </row>
    <row r="170" spans="1:6" ht="17" x14ac:dyDescent="0.25">
      <c r="A170" s="2">
        <v>31106</v>
      </c>
      <c r="B170" s="3">
        <v>284.2</v>
      </c>
      <c r="C170">
        <f t="shared" si="6"/>
        <v>1985</v>
      </c>
      <c r="D170">
        <f t="shared" si="7"/>
        <v>2</v>
      </c>
      <c r="E170" s="7" cm="1">
        <f t="array" ref="E170">LOOKUP(12, D:D/(C:C = C170 - 1), B:B)</f>
        <v>247.1</v>
      </c>
      <c r="F170">
        <f t="shared" si="8"/>
        <v>1.15014164305949</v>
      </c>
    </row>
    <row r="171" spans="1:6" ht="17" x14ac:dyDescent="0.25">
      <c r="A171" s="2">
        <v>31135</v>
      </c>
      <c r="B171" s="3">
        <v>279.2</v>
      </c>
      <c r="C171">
        <f t="shared" si="6"/>
        <v>1985</v>
      </c>
      <c r="D171">
        <f t="shared" si="7"/>
        <v>3</v>
      </c>
      <c r="E171" s="7" cm="1">
        <f t="array" ref="E171">LOOKUP(12, D:D/(C:C = C171 - 1), B:B)</f>
        <v>247.1</v>
      </c>
      <c r="F171">
        <f t="shared" si="8"/>
        <v>1.1299069202751921</v>
      </c>
    </row>
    <row r="172" spans="1:6" ht="17" x14ac:dyDescent="0.25">
      <c r="A172" s="2">
        <v>31167</v>
      </c>
      <c r="B172" s="3">
        <v>280.60000000000002</v>
      </c>
      <c r="C172">
        <f t="shared" si="6"/>
        <v>1985</v>
      </c>
      <c r="D172">
        <f t="shared" si="7"/>
        <v>4</v>
      </c>
      <c r="E172" s="7" cm="1">
        <f t="array" ref="E172">LOOKUP(12, D:D/(C:C = C172 - 1), B:B)</f>
        <v>247.1</v>
      </c>
      <c r="F172">
        <f t="shared" si="8"/>
        <v>1.1355726426547958</v>
      </c>
    </row>
    <row r="173" spans="1:6" ht="17" x14ac:dyDescent="0.25">
      <c r="A173" s="2">
        <v>31198</v>
      </c>
      <c r="B173" s="3">
        <v>290.8</v>
      </c>
      <c r="C173">
        <f t="shared" si="6"/>
        <v>1985</v>
      </c>
      <c r="D173">
        <f t="shared" si="7"/>
        <v>5</v>
      </c>
      <c r="E173" s="7" cm="1">
        <f t="array" ref="E173">LOOKUP(12, D:D/(C:C = C173 - 1), B:B)</f>
        <v>247.1</v>
      </c>
      <c r="F173">
        <f t="shared" si="8"/>
        <v>1.1768514771347633</v>
      </c>
    </row>
    <row r="174" spans="1:6" ht="17" x14ac:dyDescent="0.25">
      <c r="A174" s="2">
        <v>31226</v>
      </c>
      <c r="B174" s="3">
        <v>296.2</v>
      </c>
      <c r="C174">
        <f t="shared" si="6"/>
        <v>1985</v>
      </c>
      <c r="D174">
        <f t="shared" si="7"/>
        <v>6</v>
      </c>
      <c r="E174" s="7" cm="1">
        <f t="array" ref="E174">LOOKUP(12, D:D/(C:C = C174 - 1), B:B)</f>
        <v>247.1</v>
      </c>
      <c r="F174">
        <f t="shared" si="8"/>
        <v>1.1987049777418048</v>
      </c>
    </row>
    <row r="175" spans="1:6" ht="17" x14ac:dyDescent="0.25">
      <c r="A175" s="2">
        <v>31259</v>
      </c>
      <c r="B175" s="3">
        <v>301.3</v>
      </c>
      <c r="C175">
        <f t="shared" si="6"/>
        <v>1985</v>
      </c>
      <c r="D175">
        <f t="shared" si="7"/>
        <v>7</v>
      </c>
      <c r="E175" s="7" cm="1">
        <f t="array" ref="E175">LOOKUP(12, D:D/(C:C = C175 - 1), B:B)</f>
        <v>247.1</v>
      </c>
      <c r="F175">
        <f t="shared" si="8"/>
        <v>1.2193443949817888</v>
      </c>
    </row>
    <row r="176" spans="1:6" ht="17" x14ac:dyDescent="0.25">
      <c r="A176" s="2">
        <v>31289</v>
      </c>
      <c r="B176" s="3">
        <v>297.7</v>
      </c>
      <c r="C176">
        <f t="shared" si="6"/>
        <v>1985</v>
      </c>
      <c r="D176">
        <f t="shared" si="7"/>
        <v>8</v>
      </c>
      <c r="E176" s="7" cm="1">
        <f t="array" ref="E176">LOOKUP(12, D:D/(C:C = C176 - 1), B:B)</f>
        <v>247.1</v>
      </c>
      <c r="F176">
        <f t="shared" si="8"/>
        <v>1.2047753945770943</v>
      </c>
    </row>
    <row r="177" spans="1:6" ht="17" x14ac:dyDescent="0.25">
      <c r="A177" s="2">
        <v>31320</v>
      </c>
      <c r="B177" s="3">
        <v>280.3</v>
      </c>
      <c r="C177">
        <f t="shared" si="6"/>
        <v>1985</v>
      </c>
      <c r="D177">
        <f t="shared" si="7"/>
        <v>9</v>
      </c>
      <c r="E177" s="7" cm="1">
        <f t="array" ref="E177">LOOKUP(12, D:D/(C:C = C177 - 1), B:B)</f>
        <v>247.1</v>
      </c>
      <c r="F177">
        <f t="shared" si="8"/>
        <v>1.1343585592877379</v>
      </c>
    </row>
    <row r="178" spans="1:6" ht="17" x14ac:dyDescent="0.25">
      <c r="A178" s="2">
        <v>31351</v>
      </c>
      <c r="B178" s="3">
        <v>292.5</v>
      </c>
      <c r="C178">
        <f t="shared" si="6"/>
        <v>1985</v>
      </c>
      <c r="D178">
        <f t="shared" si="7"/>
        <v>10</v>
      </c>
      <c r="E178" s="7" cm="1">
        <f t="array" ref="E178">LOOKUP(12, D:D/(C:C = C178 - 1), B:B)</f>
        <v>247.1</v>
      </c>
      <c r="F178">
        <f t="shared" si="8"/>
        <v>1.1837312828814246</v>
      </c>
    </row>
    <row r="179" spans="1:6" ht="17" x14ac:dyDescent="0.25">
      <c r="A179" s="2">
        <v>31380</v>
      </c>
      <c r="B179" s="3">
        <v>314</v>
      </c>
      <c r="C179">
        <f t="shared" si="6"/>
        <v>1985</v>
      </c>
      <c r="D179">
        <f t="shared" si="7"/>
        <v>11</v>
      </c>
      <c r="E179" s="7" cm="1">
        <f t="array" ref="E179">LOOKUP(12, D:D/(C:C = C179 - 1), B:B)</f>
        <v>247.1</v>
      </c>
      <c r="F179">
        <f t="shared" si="8"/>
        <v>1.2707405908539053</v>
      </c>
    </row>
    <row r="180" spans="1:6" ht="17" x14ac:dyDescent="0.25">
      <c r="A180" s="2">
        <v>31412</v>
      </c>
      <c r="B180" s="3">
        <v>324.89999999999998</v>
      </c>
      <c r="C180">
        <f t="shared" si="6"/>
        <v>1985</v>
      </c>
      <c r="D180">
        <f t="shared" si="7"/>
        <v>12</v>
      </c>
      <c r="E180" s="7" cm="1">
        <f t="array" ref="E180">LOOKUP(12, D:D/(C:C = C180 - 1), B:B)</f>
        <v>247.1</v>
      </c>
      <c r="F180">
        <f t="shared" si="8"/>
        <v>1.3148522865236745</v>
      </c>
    </row>
    <row r="181" spans="1:6" ht="17" x14ac:dyDescent="0.25">
      <c r="A181" s="2">
        <v>31443</v>
      </c>
      <c r="B181" s="3">
        <v>335.8</v>
      </c>
      <c r="C181">
        <f t="shared" si="6"/>
        <v>1986</v>
      </c>
      <c r="D181">
        <f t="shared" si="7"/>
        <v>1</v>
      </c>
      <c r="E181" s="7" cm="1">
        <f t="array" ref="E181">LOOKUP(12, D:D/(C:C = C181 - 1), B:B)</f>
        <v>324.89999999999998</v>
      </c>
      <c r="F181">
        <f t="shared" si="8"/>
        <v>1.0335487842413051</v>
      </c>
    </row>
    <row r="182" spans="1:6" ht="17" x14ac:dyDescent="0.25">
      <c r="A182" s="2">
        <v>31471</v>
      </c>
      <c r="B182" s="3">
        <v>359.5</v>
      </c>
      <c r="C182">
        <f t="shared" si="6"/>
        <v>1986</v>
      </c>
      <c r="D182">
        <f t="shared" si="7"/>
        <v>2</v>
      </c>
      <c r="E182" s="7" cm="1">
        <f t="array" ref="E182">LOOKUP(12, D:D/(C:C = C182 - 1), B:B)</f>
        <v>324.89999999999998</v>
      </c>
      <c r="F182">
        <f t="shared" si="8"/>
        <v>1.1064943059402894</v>
      </c>
    </row>
    <row r="183" spans="1:6" ht="17" x14ac:dyDescent="0.25">
      <c r="A183" s="2">
        <v>31502</v>
      </c>
      <c r="B183" s="3">
        <v>374.7</v>
      </c>
      <c r="C183">
        <f t="shared" si="6"/>
        <v>1986</v>
      </c>
      <c r="D183">
        <f t="shared" si="7"/>
        <v>3</v>
      </c>
      <c r="E183" s="7" cm="1">
        <f t="array" ref="E183">LOOKUP(12, D:D/(C:C = C183 - 1), B:B)</f>
        <v>324.89999999999998</v>
      </c>
      <c r="F183">
        <f t="shared" si="8"/>
        <v>1.1532779316712836</v>
      </c>
    </row>
    <row r="184" spans="1:6" ht="17" x14ac:dyDescent="0.25">
      <c r="A184" s="2">
        <v>31532</v>
      </c>
      <c r="B184" s="3">
        <v>383.2</v>
      </c>
      <c r="C184">
        <f t="shared" si="6"/>
        <v>1986</v>
      </c>
      <c r="D184">
        <f t="shared" si="7"/>
        <v>4</v>
      </c>
      <c r="E184" s="7" cm="1">
        <f t="array" ref="E184">LOOKUP(12, D:D/(C:C = C184 - 1), B:B)</f>
        <v>324.89999999999998</v>
      </c>
      <c r="F184">
        <f t="shared" si="8"/>
        <v>1.1794398276392737</v>
      </c>
    </row>
    <row r="185" spans="1:6" ht="17" x14ac:dyDescent="0.25">
      <c r="A185" s="2">
        <v>31562</v>
      </c>
      <c r="B185" s="3">
        <v>400.2</v>
      </c>
      <c r="C185">
        <f t="shared" si="6"/>
        <v>1986</v>
      </c>
      <c r="D185">
        <f t="shared" si="7"/>
        <v>5</v>
      </c>
      <c r="E185" s="7" cm="1">
        <f t="array" ref="E185">LOOKUP(12, D:D/(C:C = C185 - 1), B:B)</f>
        <v>324.89999999999998</v>
      </c>
      <c r="F185">
        <f t="shared" si="8"/>
        <v>1.2317636195752539</v>
      </c>
    </row>
    <row r="186" spans="1:6" ht="17" x14ac:dyDescent="0.25">
      <c r="A186" s="2">
        <v>31593</v>
      </c>
      <c r="B186" s="3">
        <v>405.5</v>
      </c>
      <c r="C186">
        <f t="shared" si="6"/>
        <v>1986</v>
      </c>
      <c r="D186">
        <f t="shared" si="7"/>
        <v>6</v>
      </c>
      <c r="E186" s="7" cm="1">
        <f t="array" ref="E186">LOOKUP(12, D:D/(C:C = C186 - 1), B:B)</f>
        <v>324.89999999999998</v>
      </c>
      <c r="F186">
        <f t="shared" si="8"/>
        <v>1.2480763311788243</v>
      </c>
    </row>
    <row r="187" spans="1:6" ht="17" x14ac:dyDescent="0.25">
      <c r="A187" s="2">
        <v>31624</v>
      </c>
      <c r="B187" s="3">
        <v>371.4</v>
      </c>
      <c r="C187">
        <f t="shared" si="6"/>
        <v>1986</v>
      </c>
      <c r="D187">
        <f t="shared" si="7"/>
        <v>7</v>
      </c>
      <c r="E187" s="7" cm="1">
        <f t="array" ref="E187">LOOKUP(12, D:D/(C:C = C187 - 1), B:B)</f>
        <v>324.89999999999998</v>
      </c>
      <c r="F187">
        <f t="shared" si="8"/>
        <v>1.1431209602954755</v>
      </c>
    </row>
    <row r="188" spans="1:6" ht="17" x14ac:dyDescent="0.25">
      <c r="A188" s="2">
        <v>31653</v>
      </c>
      <c r="B188" s="3">
        <v>382.9</v>
      </c>
      <c r="C188">
        <f t="shared" si="6"/>
        <v>1986</v>
      </c>
      <c r="D188">
        <f t="shared" si="7"/>
        <v>8</v>
      </c>
      <c r="E188" s="7" cm="1">
        <f t="array" ref="E188">LOOKUP(12, D:D/(C:C = C188 - 1), B:B)</f>
        <v>324.89999999999998</v>
      </c>
      <c r="F188">
        <f t="shared" si="8"/>
        <v>1.1785164666051093</v>
      </c>
    </row>
    <row r="189" spans="1:6" ht="17" x14ac:dyDescent="0.25">
      <c r="A189" s="2">
        <v>31685</v>
      </c>
      <c r="B189" s="3">
        <v>350.7</v>
      </c>
      <c r="C189">
        <f t="shared" si="6"/>
        <v>1986</v>
      </c>
      <c r="D189">
        <f t="shared" si="7"/>
        <v>9</v>
      </c>
      <c r="E189" s="7" cm="1">
        <f t="array" ref="E189">LOOKUP(12, D:D/(C:C = C189 - 1), B:B)</f>
        <v>324.89999999999998</v>
      </c>
      <c r="F189">
        <f t="shared" si="8"/>
        <v>1.0794090489381349</v>
      </c>
    </row>
    <row r="190" spans="1:6" ht="17" x14ac:dyDescent="0.25">
      <c r="A190" s="2">
        <v>31716</v>
      </c>
      <c r="B190" s="3">
        <v>360.8</v>
      </c>
      <c r="C190">
        <f t="shared" si="6"/>
        <v>1986</v>
      </c>
      <c r="D190">
        <f t="shared" si="7"/>
        <v>10</v>
      </c>
      <c r="E190" s="7" cm="1">
        <f t="array" ref="E190">LOOKUP(12, D:D/(C:C = C190 - 1), B:B)</f>
        <v>324.89999999999998</v>
      </c>
      <c r="F190">
        <f t="shared" si="8"/>
        <v>1.1104955370883349</v>
      </c>
    </row>
    <row r="191" spans="1:6" ht="17" x14ac:dyDescent="0.25">
      <c r="A191" s="2">
        <v>31744</v>
      </c>
      <c r="B191" s="3">
        <v>359.6</v>
      </c>
      <c r="C191">
        <f t="shared" si="6"/>
        <v>1986</v>
      </c>
      <c r="D191">
        <f t="shared" si="7"/>
        <v>11</v>
      </c>
      <c r="E191" s="7" cm="1">
        <f t="array" ref="E191">LOOKUP(12, D:D/(C:C = C191 - 1), B:B)</f>
        <v>324.89999999999998</v>
      </c>
      <c r="F191">
        <f t="shared" si="8"/>
        <v>1.1068020929516775</v>
      </c>
    </row>
    <row r="192" spans="1:6" ht="17" x14ac:dyDescent="0.25">
      <c r="A192" s="2">
        <v>31777</v>
      </c>
      <c r="B192" s="3">
        <v>348.8</v>
      </c>
      <c r="C192">
        <f t="shared" si="6"/>
        <v>1986</v>
      </c>
      <c r="D192">
        <f t="shared" si="7"/>
        <v>12</v>
      </c>
      <c r="E192" s="7" cm="1">
        <f t="array" ref="E192">LOOKUP(12, D:D/(C:C = C192 - 1), B:B)</f>
        <v>324.89999999999998</v>
      </c>
      <c r="F192">
        <f t="shared" si="8"/>
        <v>1.0735610957217607</v>
      </c>
    </row>
    <row r="193" spans="1:6" ht="17" x14ac:dyDescent="0.25">
      <c r="A193" s="2">
        <v>31807</v>
      </c>
      <c r="B193" s="3">
        <v>392.1</v>
      </c>
      <c r="C193">
        <f t="shared" si="6"/>
        <v>1987</v>
      </c>
      <c r="D193">
        <f t="shared" si="7"/>
        <v>1</v>
      </c>
      <c r="E193" s="7" cm="1">
        <f t="array" ref="E193">LOOKUP(12, D:D/(C:C = C193 - 1), B:B)</f>
        <v>348.8</v>
      </c>
      <c r="F193">
        <f t="shared" si="8"/>
        <v>1.1241399082568808</v>
      </c>
    </row>
    <row r="194" spans="1:6" ht="17" x14ac:dyDescent="0.25">
      <c r="A194" s="2">
        <v>31835</v>
      </c>
      <c r="B194" s="3">
        <v>425</v>
      </c>
      <c r="C194">
        <f t="shared" ref="C194:C257" si="9">YEAR(A194)</f>
        <v>1987</v>
      </c>
      <c r="D194">
        <f t="shared" ref="D194:D257" si="10">MONTH(A194)</f>
        <v>2</v>
      </c>
      <c r="E194" s="7" cm="1">
        <f t="array" ref="E194">LOOKUP(12, D:D/(C:C = C194 - 1), B:B)</f>
        <v>348.8</v>
      </c>
      <c r="F194">
        <f t="shared" si="8"/>
        <v>1.2184633027522935</v>
      </c>
    </row>
    <row r="195" spans="1:6" ht="17" x14ac:dyDescent="0.25">
      <c r="A195" s="2">
        <v>31867</v>
      </c>
      <c r="B195" s="3">
        <v>430.1</v>
      </c>
      <c r="C195">
        <f t="shared" si="9"/>
        <v>1987</v>
      </c>
      <c r="D195">
        <f t="shared" si="10"/>
        <v>3</v>
      </c>
      <c r="E195" s="7" cm="1">
        <f t="array" ref="E195">LOOKUP(12, D:D/(C:C = C195 - 1), B:B)</f>
        <v>348.8</v>
      </c>
      <c r="F195">
        <f t="shared" ref="F195:F258" si="11">B195/E195</f>
        <v>1.2330848623853212</v>
      </c>
    </row>
    <row r="196" spans="1:6" ht="17" x14ac:dyDescent="0.25">
      <c r="A196" s="2">
        <v>31897</v>
      </c>
      <c r="B196" s="3">
        <v>417.8</v>
      </c>
      <c r="C196">
        <f t="shared" si="9"/>
        <v>1987</v>
      </c>
      <c r="D196">
        <f t="shared" si="10"/>
        <v>4</v>
      </c>
      <c r="E196" s="7" cm="1">
        <f t="array" ref="E196">LOOKUP(12, D:D/(C:C = C196 - 1), B:B)</f>
        <v>348.8</v>
      </c>
      <c r="F196">
        <f t="shared" si="11"/>
        <v>1.1978211009174311</v>
      </c>
    </row>
    <row r="197" spans="1:6" ht="17" x14ac:dyDescent="0.25">
      <c r="A197" s="2">
        <v>31926</v>
      </c>
      <c r="B197" s="3">
        <v>416.5</v>
      </c>
      <c r="C197">
        <f t="shared" si="9"/>
        <v>1987</v>
      </c>
      <c r="D197">
        <f t="shared" si="10"/>
        <v>5</v>
      </c>
      <c r="E197" s="7" cm="1">
        <f t="array" ref="E197">LOOKUP(12, D:D/(C:C = C197 - 1), B:B)</f>
        <v>348.8</v>
      </c>
      <c r="F197">
        <f t="shared" si="11"/>
        <v>1.1940940366972477</v>
      </c>
    </row>
    <row r="198" spans="1:6" ht="17" x14ac:dyDescent="0.25">
      <c r="A198" s="2">
        <v>31958</v>
      </c>
      <c r="B198" s="3">
        <v>424.7</v>
      </c>
      <c r="C198">
        <f t="shared" si="9"/>
        <v>1987</v>
      </c>
      <c r="D198">
        <f t="shared" si="10"/>
        <v>6</v>
      </c>
      <c r="E198" s="7" cm="1">
        <f t="array" ref="E198">LOOKUP(12, D:D/(C:C = C198 - 1), B:B)</f>
        <v>348.8</v>
      </c>
      <c r="F198">
        <f t="shared" si="11"/>
        <v>1.2176032110091743</v>
      </c>
    </row>
    <row r="199" spans="1:6" ht="17" x14ac:dyDescent="0.25">
      <c r="A199" s="2">
        <v>31989</v>
      </c>
      <c r="B199" s="3">
        <v>434.9</v>
      </c>
      <c r="C199">
        <f t="shared" si="9"/>
        <v>1987</v>
      </c>
      <c r="D199">
        <f t="shared" si="10"/>
        <v>7</v>
      </c>
      <c r="E199" s="7" cm="1">
        <f t="array" ref="E199">LOOKUP(12, D:D/(C:C = C199 - 1), B:B)</f>
        <v>348.8</v>
      </c>
      <c r="F199">
        <f t="shared" si="11"/>
        <v>1.2468463302752293</v>
      </c>
    </row>
    <row r="200" spans="1:6" ht="17" x14ac:dyDescent="0.25">
      <c r="A200" s="2">
        <v>32020</v>
      </c>
      <c r="B200" s="3">
        <v>455</v>
      </c>
      <c r="C200">
        <f t="shared" si="9"/>
        <v>1987</v>
      </c>
      <c r="D200">
        <f t="shared" si="10"/>
        <v>8</v>
      </c>
      <c r="E200" s="7" cm="1">
        <f t="array" ref="E200">LOOKUP(12, D:D/(C:C = C200 - 1), B:B)</f>
        <v>348.8</v>
      </c>
      <c r="F200">
        <f t="shared" si="11"/>
        <v>1.3044724770642202</v>
      </c>
    </row>
    <row r="201" spans="1:6" ht="17" x14ac:dyDescent="0.25">
      <c r="A201" s="2">
        <v>32050</v>
      </c>
      <c r="B201" s="3">
        <v>444.3</v>
      </c>
      <c r="C201">
        <f t="shared" si="9"/>
        <v>1987</v>
      </c>
      <c r="D201">
        <f t="shared" si="10"/>
        <v>9</v>
      </c>
      <c r="E201" s="7" cm="1">
        <f t="array" ref="E201">LOOKUP(12, D:D/(C:C = C201 - 1), B:B)</f>
        <v>348.8</v>
      </c>
      <c r="F201">
        <f t="shared" si="11"/>
        <v>1.2737958715596329</v>
      </c>
    </row>
    <row r="202" spans="1:6" ht="17" x14ac:dyDescent="0.25">
      <c r="A202" s="2">
        <v>32080</v>
      </c>
      <c r="B202" s="3">
        <v>323.3</v>
      </c>
      <c r="C202">
        <f t="shared" si="9"/>
        <v>1987</v>
      </c>
      <c r="D202">
        <f t="shared" si="10"/>
        <v>10</v>
      </c>
      <c r="E202" s="7" cm="1">
        <f t="array" ref="E202">LOOKUP(12, D:D/(C:C = C202 - 1), B:B)</f>
        <v>348.8</v>
      </c>
      <c r="F202">
        <f t="shared" si="11"/>
        <v>0.92689220183486243</v>
      </c>
    </row>
    <row r="203" spans="1:6" ht="17" x14ac:dyDescent="0.25">
      <c r="A203" s="2">
        <v>32111</v>
      </c>
      <c r="B203" s="3">
        <v>305.2</v>
      </c>
      <c r="C203">
        <f t="shared" si="9"/>
        <v>1987</v>
      </c>
      <c r="D203">
        <f t="shared" si="10"/>
        <v>11</v>
      </c>
      <c r="E203" s="7" cm="1">
        <f t="array" ref="E203">LOOKUP(12, D:D/(C:C = C203 - 1), B:B)</f>
        <v>348.8</v>
      </c>
      <c r="F203">
        <f t="shared" si="11"/>
        <v>0.87499999999999989</v>
      </c>
    </row>
    <row r="204" spans="1:6" ht="17" x14ac:dyDescent="0.25">
      <c r="A204" s="2">
        <v>32142</v>
      </c>
      <c r="B204" s="3">
        <v>330.5</v>
      </c>
      <c r="C204">
        <f t="shared" si="9"/>
        <v>1987</v>
      </c>
      <c r="D204">
        <f t="shared" si="10"/>
        <v>12</v>
      </c>
      <c r="E204" s="7" cm="1">
        <f t="array" ref="E204">LOOKUP(12, D:D/(C:C = C204 - 1), B:B)</f>
        <v>348.8</v>
      </c>
      <c r="F204">
        <f t="shared" si="11"/>
        <v>0.94753440366972475</v>
      </c>
    </row>
    <row r="205" spans="1:6" ht="17" x14ac:dyDescent="0.25">
      <c r="A205" s="2">
        <v>32171</v>
      </c>
      <c r="B205" s="3">
        <v>344.7</v>
      </c>
      <c r="C205">
        <f t="shared" si="9"/>
        <v>1988</v>
      </c>
      <c r="D205">
        <f t="shared" si="10"/>
        <v>1</v>
      </c>
      <c r="E205" s="7" cm="1">
        <f t="array" ref="E205">LOOKUP(12, D:D/(C:C = C205 - 1), B:B)</f>
        <v>330.5</v>
      </c>
      <c r="F205">
        <f t="shared" si="11"/>
        <v>1.042965204236006</v>
      </c>
    </row>
    <row r="206" spans="1:6" ht="17" x14ac:dyDescent="0.25">
      <c r="A206" s="2">
        <v>32202</v>
      </c>
      <c r="B206" s="3">
        <v>367</v>
      </c>
      <c r="C206">
        <f t="shared" si="9"/>
        <v>1988</v>
      </c>
      <c r="D206">
        <f t="shared" si="10"/>
        <v>2</v>
      </c>
      <c r="E206" s="7" cm="1">
        <f t="array" ref="E206">LOOKUP(12, D:D/(C:C = C206 - 1), B:B)</f>
        <v>330.5</v>
      </c>
      <c r="F206">
        <f t="shared" si="11"/>
        <v>1.1104387291981845</v>
      </c>
    </row>
    <row r="207" spans="1:6" ht="17" x14ac:dyDescent="0.25">
      <c r="A207" s="2">
        <v>32233</v>
      </c>
      <c r="B207" s="3">
        <v>374.6</v>
      </c>
      <c r="C207">
        <f t="shared" si="9"/>
        <v>1988</v>
      </c>
      <c r="D207">
        <f t="shared" si="10"/>
        <v>3</v>
      </c>
      <c r="E207" s="7" cm="1">
        <f t="array" ref="E207">LOOKUP(12, D:D/(C:C = C207 - 1), B:B)</f>
        <v>330.5</v>
      </c>
      <c r="F207">
        <f t="shared" si="11"/>
        <v>1.1334341906202723</v>
      </c>
    </row>
    <row r="208" spans="1:6" ht="17" x14ac:dyDescent="0.25">
      <c r="A208" s="2">
        <v>32262</v>
      </c>
      <c r="B208" s="3">
        <v>379.2</v>
      </c>
      <c r="C208">
        <f t="shared" si="9"/>
        <v>1988</v>
      </c>
      <c r="D208">
        <f t="shared" si="10"/>
        <v>4</v>
      </c>
      <c r="E208" s="7" cm="1">
        <f t="array" ref="E208">LOOKUP(12, D:D/(C:C = C208 - 1), B:B)</f>
        <v>330.5</v>
      </c>
      <c r="F208">
        <f t="shared" si="11"/>
        <v>1.1473524962178516</v>
      </c>
    </row>
    <row r="209" spans="1:6" ht="17" x14ac:dyDescent="0.25">
      <c r="A209" s="2">
        <v>32294</v>
      </c>
      <c r="B209" s="3">
        <v>370.3</v>
      </c>
      <c r="C209">
        <f t="shared" si="9"/>
        <v>1988</v>
      </c>
      <c r="D209">
        <f t="shared" si="10"/>
        <v>5</v>
      </c>
      <c r="E209" s="7" cm="1">
        <f t="array" ref="E209">LOOKUP(12, D:D/(C:C = C209 - 1), B:B)</f>
        <v>330.5</v>
      </c>
      <c r="F209">
        <f t="shared" si="11"/>
        <v>1.1204236006051438</v>
      </c>
    </row>
    <row r="210" spans="1:6" ht="17" x14ac:dyDescent="0.25">
      <c r="A210" s="2">
        <v>32324</v>
      </c>
      <c r="B210" s="3">
        <v>394.7</v>
      </c>
      <c r="C210">
        <f t="shared" si="9"/>
        <v>1988</v>
      </c>
      <c r="D210">
        <f t="shared" si="10"/>
        <v>6</v>
      </c>
      <c r="E210" s="7" cm="1">
        <f t="array" ref="E210">LOOKUP(12, D:D/(C:C = C210 - 1), B:B)</f>
        <v>330.5</v>
      </c>
      <c r="F210">
        <f t="shared" si="11"/>
        <v>1.194251134644478</v>
      </c>
    </row>
    <row r="211" spans="1:6" ht="17" x14ac:dyDescent="0.25">
      <c r="A211" s="2">
        <v>32353</v>
      </c>
      <c r="B211" s="3">
        <v>387.3</v>
      </c>
      <c r="C211">
        <f t="shared" si="9"/>
        <v>1988</v>
      </c>
      <c r="D211">
        <f t="shared" si="10"/>
        <v>7</v>
      </c>
      <c r="E211" s="7" cm="1">
        <f t="array" ref="E211">LOOKUP(12, D:D/(C:C = C211 - 1), B:B)</f>
        <v>330.5</v>
      </c>
      <c r="F211">
        <f t="shared" si="11"/>
        <v>1.1718608169440243</v>
      </c>
    </row>
    <row r="212" spans="1:6" ht="17" x14ac:dyDescent="0.25">
      <c r="A212" s="2">
        <v>32386</v>
      </c>
      <c r="B212" s="3">
        <v>376.6</v>
      </c>
      <c r="C212">
        <f t="shared" si="9"/>
        <v>1988</v>
      </c>
      <c r="D212">
        <f t="shared" si="10"/>
        <v>8</v>
      </c>
      <c r="E212" s="7" cm="1">
        <f t="array" ref="E212">LOOKUP(12, D:D/(C:C = C212 - 1), B:B)</f>
        <v>330.5</v>
      </c>
      <c r="F212">
        <f t="shared" si="11"/>
        <v>1.1394856278366112</v>
      </c>
    </row>
    <row r="213" spans="1:6" ht="17" x14ac:dyDescent="0.25">
      <c r="A213" s="2">
        <v>32416</v>
      </c>
      <c r="B213" s="3">
        <v>387.7</v>
      </c>
      <c r="C213">
        <f t="shared" si="9"/>
        <v>1988</v>
      </c>
      <c r="D213">
        <f t="shared" si="10"/>
        <v>9</v>
      </c>
      <c r="E213" s="7" cm="1">
        <f t="array" ref="E213">LOOKUP(12, D:D/(C:C = C213 - 1), B:B)</f>
        <v>330.5</v>
      </c>
      <c r="F213">
        <f t="shared" si="11"/>
        <v>1.1730711043872919</v>
      </c>
    </row>
    <row r="214" spans="1:6" ht="17" x14ac:dyDescent="0.25">
      <c r="A214" s="2">
        <v>32447</v>
      </c>
      <c r="B214" s="3">
        <v>382.5</v>
      </c>
      <c r="C214">
        <f t="shared" si="9"/>
        <v>1988</v>
      </c>
      <c r="D214">
        <f t="shared" si="10"/>
        <v>10</v>
      </c>
      <c r="E214" s="7" cm="1">
        <f t="array" ref="E214">LOOKUP(12, D:D/(C:C = C214 - 1), B:B)</f>
        <v>330.5</v>
      </c>
      <c r="F214">
        <f t="shared" si="11"/>
        <v>1.1573373676248109</v>
      </c>
    </row>
    <row r="215" spans="1:6" ht="17" x14ac:dyDescent="0.25">
      <c r="A215" s="2">
        <v>32477</v>
      </c>
      <c r="B215" s="3">
        <v>371.5</v>
      </c>
      <c r="C215">
        <f t="shared" si="9"/>
        <v>1988</v>
      </c>
      <c r="D215">
        <f t="shared" si="10"/>
        <v>11</v>
      </c>
      <c r="E215" s="7" cm="1">
        <f t="array" ref="E215">LOOKUP(12, D:D/(C:C = C215 - 1), B:B)</f>
        <v>330.5</v>
      </c>
      <c r="F215">
        <f t="shared" si="11"/>
        <v>1.1240544629349472</v>
      </c>
    </row>
    <row r="216" spans="1:6" ht="17" x14ac:dyDescent="0.25">
      <c r="A216" s="2">
        <v>32507</v>
      </c>
      <c r="B216" s="3">
        <v>381.4</v>
      </c>
      <c r="C216">
        <f t="shared" si="9"/>
        <v>1988</v>
      </c>
      <c r="D216">
        <f t="shared" si="10"/>
        <v>12</v>
      </c>
      <c r="E216" s="7" cm="1">
        <f t="array" ref="E216">LOOKUP(12, D:D/(C:C = C216 - 1), B:B)</f>
        <v>330.5</v>
      </c>
      <c r="F216">
        <f t="shared" si="11"/>
        <v>1.1540090771558245</v>
      </c>
    </row>
    <row r="217" spans="1:6" ht="17" x14ac:dyDescent="0.25">
      <c r="A217" s="2">
        <v>32539</v>
      </c>
      <c r="B217" s="3">
        <v>401.3</v>
      </c>
      <c r="C217">
        <f t="shared" si="9"/>
        <v>1989</v>
      </c>
      <c r="D217">
        <f t="shared" si="10"/>
        <v>1</v>
      </c>
      <c r="E217" s="7" cm="1">
        <f t="array" ref="E217">LOOKUP(12, D:D/(C:C = C217 - 1), B:B)</f>
        <v>381.4</v>
      </c>
      <c r="F217">
        <f t="shared" si="11"/>
        <v>1.0521761929732565</v>
      </c>
    </row>
    <row r="218" spans="1:6" ht="17" x14ac:dyDescent="0.25">
      <c r="A218" s="2">
        <v>32567</v>
      </c>
      <c r="B218" s="3">
        <v>399.7</v>
      </c>
      <c r="C218">
        <f t="shared" si="9"/>
        <v>1989</v>
      </c>
      <c r="D218">
        <f t="shared" si="10"/>
        <v>2</v>
      </c>
      <c r="E218" s="7" cm="1">
        <f t="array" ref="E218">LOOKUP(12, D:D/(C:C = C218 - 1), B:B)</f>
        <v>381.4</v>
      </c>
      <c r="F218">
        <f t="shared" si="11"/>
        <v>1.0479811221814368</v>
      </c>
    </row>
    <row r="219" spans="1:6" ht="17" x14ac:dyDescent="0.25">
      <c r="A219" s="2">
        <v>32598</v>
      </c>
      <c r="B219" s="3">
        <v>406.7</v>
      </c>
      <c r="C219">
        <f t="shared" si="9"/>
        <v>1989</v>
      </c>
      <c r="D219">
        <f t="shared" si="10"/>
        <v>3</v>
      </c>
      <c r="E219" s="7" cm="1">
        <f t="array" ref="E219">LOOKUP(12, D:D/(C:C = C219 - 1), B:B)</f>
        <v>381.4</v>
      </c>
      <c r="F219">
        <f t="shared" si="11"/>
        <v>1.0663345568956477</v>
      </c>
    </row>
    <row r="220" spans="1:6" ht="17" x14ac:dyDescent="0.25">
      <c r="A220" s="2">
        <v>32626</v>
      </c>
      <c r="B220" s="3">
        <v>427.6</v>
      </c>
      <c r="C220">
        <f t="shared" si="9"/>
        <v>1989</v>
      </c>
      <c r="D220">
        <f t="shared" si="10"/>
        <v>4</v>
      </c>
      <c r="E220" s="7" cm="1">
        <f t="array" ref="E220">LOOKUP(12, D:D/(C:C = C220 - 1), B:B)</f>
        <v>381.4</v>
      </c>
      <c r="F220">
        <f t="shared" si="11"/>
        <v>1.1211326691137915</v>
      </c>
    </row>
    <row r="221" spans="1:6" ht="17" x14ac:dyDescent="0.25">
      <c r="A221" s="2">
        <v>32659</v>
      </c>
      <c r="B221" s="3">
        <v>446.2</v>
      </c>
      <c r="C221">
        <f t="shared" si="9"/>
        <v>1989</v>
      </c>
      <c r="D221">
        <f t="shared" si="10"/>
        <v>5</v>
      </c>
      <c r="E221" s="7" cm="1">
        <f t="array" ref="E221">LOOKUP(12, D:D/(C:C = C221 - 1), B:B)</f>
        <v>381.4</v>
      </c>
      <c r="F221">
        <f t="shared" si="11"/>
        <v>1.1699003670686943</v>
      </c>
    </row>
    <row r="222" spans="1:6" ht="17" x14ac:dyDescent="0.25">
      <c r="A222" s="2">
        <v>32689</v>
      </c>
      <c r="B222" s="3">
        <v>435.3</v>
      </c>
      <c r="C222">
        <f t="shared" si="9"/>
        <v>1989</v>
      </c>
      <c r="D222">
        <f t="shared" si="10"/>
        <v>6</v>
      </c>
      <c r="E222" s="7" cm="1">
        <f t="array" ref="E222">LOOKUP(12, D:D/(C:C = C222 - 1), B:B)</f>
        <v>381.4</v>
      </c>
      <c r="F222">
        <f t="shared" si="11"/>
        <v>1.1413214472994233</v>
      </c>
    </row>
    <row r="223" spans="1:6" ht="17" x14ac:dyDescent="0.25">
      <c r="A223" s="2">
        <v>32720</v>
      </c>
      <c r="B223" s="3">
        <v>453.8</v>
      </c>
      <c r="C223">
        <f t="shared" si="9"/>
        <v>1989</v>
      </c>
      <c r="D223">
        <f t="shared" si="10"/>
        <v>7</v>
      </c>
      <c r="E223" s="7" cm="1">
        <f t="array" ref="E223">LOOKUP(12, D:D/(C:C = C223 - 1), B:B)</f>
        <v>381.4</v>
      </c>
      <c r="F223">
        <f t="shared" si="11"/>
        <v>1.1898269533298376</v>
      </c>
    </row>
    <row r="224" spans="1:6" ht="17" x14ac:dyDescent="0.25">
      <c r="A224" s="2">
        <v>32751</v>
      </c>
      <c r="B224" s="3">
        <v>469.3</v>
      </c>
      <c r="C224">
        <f t="shared" si="9"/>
        <v>1989</v>
      </c>
      <c r="D224">
        <f t="shared" si="10"/>
        <v>8</v>
      </c>
      <c r="E224" s="7" cm="1">
        <f t="array" ref="E224">LOOKUP(12, D:D/(C:C = C224 - 1), B:B)</f>
        <v>381.4</v>
      </c>
      <c r="F224">
        <f t="shared" si="11"/>
        <v>1.2304667016255901</v>
      </c>
    </row>
    <row r="225" spans="1:6" ht="17" x14ac:dyDescent="0.25">
      <c r="A225" s="2">
        <v>32780</v>
      </c>
      <c r="B225" s="3">
        <v>472.9</v>
      </c>
      <c r="C225">
        <f t="shared" si="9"/>
        <v>1989</v>
      </c>
      <c r="D225">
        <f t="shared" si="10"/>
        <v>9</v>
      </c>
      <c r="E225" s="7" cm="1">
        <f t="array" ref="E225">LOOKUP(12, D:D/(C:C = C225 - 1), B:B)</f>
        <v>381.4</v>
      </c>
      <c r="F225">
        <f t="shared" si="11"/>
        <v>1.239905610907184</v>
      </c>
    </row>
    <row r="226" spans="1:6" ht="17" x14ac:dyDescent="0.25">
      <c r="A226" s="2">
        <v>32812</v>
      </c>
      <c r="B226" s="3">
        <v>455.6</v>
      </c>
      <c r="C226">
        <f t="shared" si="9"/>
        <v>1989</v>
      </c>
      <c r="D226">
        <f t="shared" si="10"/>
        <v>10</v>
      </c>
      <c r="E226" s="7" cm="1">
        <f t="array" ref="E226">LOOKUP(12, D:D/(C:C = C226 - 1), B:B)</f>
        <v>381.4</v>
      </c>
      <c r="F226">
        <f t="shared" si="11"/>
        <v>1.1945464079706347</v>
      </c>
    </row>
    <row r="227" spans="1:6" ht="17" x14ac:dyDescent="0.25">
      <c r="A227" s="2">
        <v>32842</v>
      </c>
      <c r="B227" s="3">
        <v>456.1</v>
      </c>
      <c r="C227">
        <f t="shared" si="9"/>
        <v>1989</v>
      </c>
      <c r="D227">
        <f t="shared" si="10"/>
        <v>11</v>
      </c>
      <c r="E227" s="7" cm="1">
        <f t="array" ref="E227">LOOKUP(12, D:D/(C:C = C227 - 1), B:B)</f>
        <v>381.4</v>
      </c>
      <c r="F227">
        <f t="shared" si="11"/>
        <v>1.1958573675930784</v>
      </c>
    </row>
    <row r="228" spans="1:6" ht="17" x14ac:dyDescent="0.25">
      <c r="A228" s="2">
        <v>32871</v>
      </c>
      <c r="B228" s="3">
        <v>454.8</v>
      </c>
      <c r="C228">
        <f t="shared" si="9"/>
        <v>1989</v>
      </c>
      <c r="D228">
        <f t="shared" si="10"/>
        <v>12</v>
      </c>
      <c r="E228" s="7" cm="1">
        <f t="array" ref="E228">LOOKUP(12, D:D/(C:C = C228 - 1), B:B)</f>
        <v>381.4</v>
      </c>
      <c r="F228">
        <f t="shared" si="11"/>
        <v>1.1924488725747249</v>
      </c>
    </row>
    <row r="229" spans="1:6" ht="17" x14ac:dyDescent="0.25">
      <c r="A229" s="2">
        <v>32904</v>
      </c>
      <c r="B229" s="3">
        <v>415.8</v>
      </c>
      <c r="C229">
        <f t="shared" si="9"/>
        <v>1990</v>
      </c>
      <c r="D229">
        <f t="shared" si="10"/>
        <v>1</v>
      </c>
      <c r="E229" s="7" cm="1">
        <f t="array" ref="E229">LOOKUP(12, D:D/(C:C = C229 - 1), B:B)</f>
        <v>454.8</v>
      </c>
      <c r="F229">
        <f t="shared" si="11"/>
        <v>0.91424802110817938</v>
      </c>
    </row>
    <row r="230" spans="1:6" ht="17" x14ac:dyDescent="0.25">
      <c r="A230" s="2">
        <v>32932</v>
      </c>
      <c r="B230" s="3">
        <v>425.8</v>
      </c>
      <c r="C230">
        <f t="shared" si="9"/>
        <v>1990</v>
      </c>
      <c r="D230">
        <f t="shared" si="10"/>
        <v>2</v>
      </c>
      <c r="E230" s="7" cm="1">
        <f t="array" ref="E230">LOOKUP(12, D:D/(C:C = C230 - 1), B:B)</f>
        <v>454.8</v>
      </c>
      <c r="F230">
        <f t="shared" si="11"/>
        <v>0.93623570800351807</v>
      </c>
    </row>
    <row r="231" spans="1:6" ht="17" x14ac:dyDescent="0.25">
      <c r="A231" s="2">
        <v>32962</v>
      </c>
      <c r="B231" s="3">
        <v>435.5</v>
      </c>
      <c r="C231">
        <f t="shared" si="9"/>
        <v>1990</v>
      </c>
      <c r="D231">
        <f t="shared" si="10"/>
        <v>3</v>
      </c>
      <c r="E231" s="7" cm="1">
        <f t="array" ref="E231">LOOKUP(12, D:D/(C:C = C231 - 1), B:B)</f>
        <v>454.8</v>
      </c>
      <c r="F231">
        <f t="shared" si="11"/>
        <v>0.95756376429199641</v>
      </c>
    </row>
    <row r="232" spans="1:6" ht="17" x14ac:dyDescent="0.25">
      <c r="A232" s="2">
        <v>32993</v>
      </c>
      <c r="B232" s="3">
        <v>420.1</v>
      </c>
      <c r="C232">
        <f t="shared" si="9"/>
        <v>1990</v>
      </c>
      <c r="D232">
        <f t="shared" si="10"/>
        <v>4</v>
      </c>
      <c r="E232" s="7" cm="1">
        <f t="array" ref="E232">LOOKUP(12, D:D/(C:C = C232 - 1), B:B)</f>
        <v>454.8</v>
      </c>
      <c r="F232">
        <f t="shared" si="11"/>
        <v>0.92370272647317508</v>
      </c>
    </row>
    <row r="233" spans="1:6" ht="17" x14ac:dyDescent="0.25">
      <c r="A233" s="2">
        <v>33024</v>
      </c>
      <c r="B233" s="3">
        <v>459</v>
      </c>
      <c r="C233">
        <f t="shared" si="9"/>
        <v>1990</v>
      </c>
      <c r="D233">
        <f t="shared" si="10"/>
        <v>5</v>
      </c>
      <c r="E233" s="7" cm="1">
        <f t="array" ref="E233">LOOKUP(12, D:D/(C:C = C233 - 1), B:B)</f>
        <v>454.8</v>
      </c>
      <c r="F233">
        <f t="shared" si="11"/>
        <v>1.0092348284960422</v>
      </c>
    </row>
    <row r="234" spans="1:6" ht="17" x14ac:dyDescent="0.25">
      <c r="A234" s="2">
        <v>33053</v>
      </c>
      <c r="B234" s="3">
        <v>462.3</v>
      </c>
      <c r="C234">
        <f t="shared" si="9"/>
        <v>1990</v>
      </c>
      <c r="D234">
        <f t="shared" si="10"/>
        <v>6</v>
      </c>
      <c r="E234" s="7" cm="1">
        <f t="array" ref="E234">LOOKUP(12, D:D/(C:C = C234 - 1), B:B)</f>
        <v>454.8</v>
      </c>
      <c r="F234">
        <f t="shared" si="11"/>
        <v>1.0164907651715041</v>
      </c>
    </row>
    <row r="235" spans="1:6" ht="17" x14ac:dyDescent="0.25">
      <c r="A235" s="2">
        <v>33085</v>
      </c>
      <c r="B235" s="3">
        <v>438.2</v>
      </c>
      <c r="C235">
        <f t="shared" si="9"/>
        <v>1990</v>
      </c>
      <c r="D235">
        <f t="shared" si="10"/>
        <v>7</v>
      </c>
      <c r="E235" s="7" cm="1">
        <f t="array" ref="E235">LOOKUP(12, D:D/(C:C = C235 - 1), B:B)</f>
        <v>454.8</v>
      </c>
      <c r="F235">
        <f t="shared" si="11"/>
        <v>0.96350043975373789</v>
      </c>
    </row>
    <row r="236" spans="1:6" ht="17" x14ac:dyDescent="0.25">
      <c r="A236" s="2">
        <v>33116</v>
      </c>
      <c r="B236" s="3">
        <v>381.2</v>
      </c>
      <c r="C236">
        <f t="shared" si="9"/>
        <v>1990</v>
      </c>
      <c r="D236">
        <f t="shared" si="10"/>
        <v>8</v>
      </c>
      <c r="E236" s="7" cm="1">
        <f t="array" ref="E236">LOOKUP(12, D:D/(C:C = C236 - 1), B:B)</f>
        <v>454.8</v>
      </c>
      <c r="F236">
        <f t="shared" si="11"/>
        <v>0.83817062445030777</v>
      </c>
    </row>
    <row r="237" spans="1:6" ht="17" x14ac:dyDescent="0.25">
      <c r="A237" s="2">
        <v>33144</v>
      </c>
      <c r="B237" s="3">
        <v>344.5</v>
      </c>
      <c r="C237">
        <f t="shared" si="9"/>
        <v>1990</v>
      </c>
      <c r="D237">
        <f t="shared" si="10"/>
        <v>9</v>
      </c>
      <c r="E237" s="7" cm="1">
        <f t="array" ref="E237">LOOKUP(12, D:D/(C:C = C237 - 1), B:B)</f>
        <v>454.8</v>
      </c>
      <c r="F237">
        <f t="shared" si="11"/>
        <v>0.75747581354441507</v>
      </c>
    </row>
    <row r="238" spans="1:6" ht="17" x14ac:dyDescent="0.25">
      <c r="A238" s="2">
        <v>33177</v>
      </c>
      <c r="B238" s="3">
        <v>329.8</v>
      </c>
      <c r="C238">
        <f t="shared" si="9"/>
        <v>1990</v>
      </c>
      <c r="D238">
        <f t="shared" si="10"/>
        <v>10</v>
      </c>
      <c r="E238" s="7" cm="1">
        <f t="array" ref="E238">LOOKUP(12, D:D/(C:C = C238 - 1), B:B)</f>
        <v>454.8</v>
      </c>
      <c r="F238">
        <f t="shared" si="11"/>
        <v>0.72515391380826733</v>
      </c>
    </row>
    <row r="239" spans="1:6" ht="17" x14ac:dyDescent="0.25">
      <c r="A239" s="2">
        <v>33207</v>
      </c>
      <c r="B239" s="3">
        <v>359.1</v>
      </c>
      <c r="C239">
        <f t="shared" si="9"/>
        <v>1990</v>
      </c>
      <c r="D239">
        <f t="shared" si="10"/>
        <v>11</v>
      </c>
      <c r="E239" s="7" cm="1">
        <f t="array" ref="E239">LOOKUP(12, D:D/(C:C = C239 - 1), B:B)</f>
        <v>454.8</v>
      </c>
      <c r="F239">
        <f t="shared" si="11"/>
        <v>0.7895778364116095</v>
      </c>
    </row>
    <row r="240" spans="1:6" ht="17" x14ac:dyDescent="0.25">
      <c r="A240" s="2">
        <v>33238</v>
      </c>
      <c r="B240" s="3">
        <v>373.8</v>
      </c>
      <c r="C240">
        <f t="shared" si="9"/>
        <v>1990</v>
      </c>
      <c r="D240">
        <f t="shared" si="10"/>
        <v>12</v>
      </c>
      <c r="E240" s="7" cm="1">
        <f t="array" ref="E240">LOOKUP(12, D:D/(C:C = C240 - 1), B:B)</f>
        <v>454.8</v>
      </c>
      <c r="F240">
        <f t="shared" si="11"/>
        <v>0.82189973614775724</v>
      </c>
    </row>
    <row r="241" spans="1:6" ht="17" x14ac:dyDescent="0.25">
      <c r="A241" s="2">
        <v>33269</v>
      </c>
      <c r="B241" s="3">
        <v>414.2</v>
      </c>
      <c r="C241">
        <f t="shared" si="9"/>
        <v>1991</v>
      </c>
      <c r="D241">
        <f t="shared" si="10"/>
        <v>1</v>
      </c>
      <c r="E241" s="7" cm="1">
        <f t="array" ref="E241">LOOKUP(12, D:D/(C:C = C241 - 1), B:B)</f>
        <v>373.8</v>
      </c>
      <c r="F241">
        <f t="shared" si="11"/>
        <v>1.1080791867308721</v>
      </c>
    </row>
    <row r="242" spans="1:6" ht="17" x14ac:dyDescent="0.25">
      <c r="A242" s="2">
        <v>33297</v>
      </c>
      <c r="B242" s="3">
        <v>453.1</v>
      </c>
      <c r="C242">
        <f t="shared" si="9"/>
        <v>1991</v>
      </c>
      <c r="D242">
        <f t="shared" si="10"/>
        <v>2</v>
      </c>
      <c r="E242" s="7" cm="1">
        <f t="array" ref="E242">LOOKUP(12, D:D/(C:C = C242 - 1), B:B)</f>
        <v>373.8</v>
      </c>
      <c r="F242">
        <f t="shared" si="11"/>
        <v>1.2121455323702515</v>
      </c>
    </row>
    <row r="243" spans="1:6" ht="17" x14ac:dyDescent="0.25">
      <c r="A243" s="2">
        <v>33325</v>
      </c>
      <c r="B243" s="3">
        <v>482.3</v>
      </c>
      <c r="C243">
        <f t="shared" si="9"/>
        <v>1991</v>
      </c>
      <c r="D243">
        <f t="shared" si="10"/>
        <v>3</v>
      </c>
      <c r="E243" s="7" cm="1">
        <f t="array" ref="E243">LOOKUP(12, D:D/(C:C = C243 - 1), B:B)</f>
        <v>373.8</v>
      </c>
      <c r="F243">
        <f t="shared" si="11"/>
        <v>1.2902621722846441</v>
      </c>
    </row>
    <row r="244" spans="1:6" ht="17" x14ac:dyDescent="0.25">
      <c r="A244" s="2">
        <v>33358</v>
      </c>
      <c r="B244" s="3">
        <v>484.72</v>
      </c>
      <c r="C244">
        <f t="shared" si="9"/>
        <v>1991</v>
      </c>
      <c r="D244">
        <f t="shared" si="10"/>
        <v>4</v>
      </c>
      <c r="E244" s="7" cm="1">
        <f t="array" ref="E244">LOOKUP(12, D:D/(C:C = C244 - 1), B:B)</f>
        <v>373.8</v>
      </c>
      <c r="F244">
        <f t="shared" si="11"/>
        <v>1.2967362225789192</v>
      </c>
    </row>
    <row r="245" spans="1:6" ht="17" x14ac:dyDescent="0.25">
      <c r="A245" s="2">
        <v>33389</v>
      </c>
      <c r="B245" s="3">
        <v>506.11</v>
      </c>
      <c r="C245">
        <f t="shared" si="9"/>
        <v>1991</v>
      </c>
      <c r="D245">
        <f t="shared" si="10"/>
        <v>5</v>
      </c>
      <c r="E245" s="7" cm="1">
        <f t="array" ref="E245">LOOKUP(12, D:D/(C:C = C245 - 1), B:B)</f>
        <v>373.8</v>
      </c>
      <c r="F245">
        <f t="shared" si="11"/>
        <v>1.3539593365436062</v>
      </c>
    </row>
    <row r="246" spans="1:6" ht="17" x14ac:dyDescent="0.25">
      <c r="A246" s="2">
        <v>33417</v>
      </c>
      <c r="B246" s="3">
        <v>475.92</v>
      </c>
      <c r="C246">
        <f t="shared" si="9"/>
        <v>1991</v>
      </c>
      <c r="D246">
        <f t="shared" si="10"/>
        <v>6</v>
      </c>
      <c r="E246" s="7" cm="1">
        <f t="array" ref="E246">LOOKUP(12, D:D/(C:C = C246 - 1), B:B)</f>
        <v>373.8</v>
      </c>
      <c r="F246">
        <f t="shared" si="11"/>
        <v>1.2731942215088283</v>
      </c>
    </row>
    <row r="247" spans="1:6" ht="17" x14ac:dyDescent="0.25">
      <c r="A247" s="2">
        <v>33450</v>
      </c>
      <c r="B247" s="3">
        <v>502.04</v>
      </c>
      <c r="C247">
        <f t="shared" si="9"/>
        <v>1991</v>
      </c>
      <c r="D247">
        <f t="shared" si="10"/>
        <v>7</v>
      </c>
      <c r="E247" s="7" cm="1">
        <f t="array" ref="E247">LOOKUP(12, D:D/(C:C = C247 - 1), B:B)</f>
        <v>373.8</v>
      </c>
      <c r="F247">
        <f t="shared" si="11"/>
        <v>1.3430711610486892</v>
      </c>
    </row>
    <row r="248" spans="1:6" ht="17" x14ac:dyDescent="0.25">
      <c r="A248" s="2">
        <v>33480</v>
      </c>
      <c r="B248" s="3">
        <v>525.67999999999995</v>
      </c>
      <c r="C248">
        <f t="shared" si="9"/>
        <v>1991</v>
      </c>
      <c r="D248">
        <f t="shared" si="10"/>
        <v>8</v>
      </c>
      <c r="E248" s="7" cm="1">
        <f t="array" ref="E248">LOOKUP(12, D:D/(C:C = C248 - 1), B:B)</f>
        <v>373.8</v>
      </c>
      <c r="F248">
        <f t="shared" si="11"/>
        <v>1.4063135366506152</v>
      </c>
    </row>
    <row r="249" spans="1:6" ht="17" x14ac:dyDescent="0.25">
      <c r="A249" s="2">
        <v>33511</v>
      </c>
      <c r="B249" s="3">
        <v>526.88</v>
      </c>
      <c r="C249">
        <f t="shared" si="9"/>
        <v>1991</v>
      </c>
      <c r="D249">
        <f t="shared" si="10"/>
        <v>9</v>
      </c>
      <c r="E249" s="7" cm="1">
        <f t="array" ref="E249">LOOKUP(12, D:D/(C:C = C249 - 1), B:B)</f>
        <v>373.8</v>
      </c>
      <c r="F249">
        <f t="shared" si="11"/>
        <v>1.4095238095238094</v>
      </c>
    </row>
    <row r="250" spans="1:6" ht="17" x14ac:dyDescent="0.25">
      <c r="A250" s="2">
        <v>33542</v>
      </c>
      <c r="B250" s="3">
        <v>542.98</v>
      </c>
      <c r="C250">
        <f t="shared" si="9"/>
        <v>1991</v>
      </c>
      <c r="D250">
        <f t="shared" si="10"/>
        <v>10</v>
      </c>
      <c r="E250" s="7" cm="1">
        <f t="array" ref="E250">LOOKUP(12, D:D/(C:C = C250 - 1), B:B)</f>
        <v>373.8</v>
      </c>
      <c r="F250">
        <f t="shared" si="11"/>
        <v>1.4525949705724988</v>
      </c>
    </row>
    <row r="251" spans="1:6" ht="17" x14ac:dyDescent="0.25">
      <c r="A251" s="2">
        <v>33571</v>
      </c>
      <c r="B251" s="3">
        <v>523.9</v>
      </c>
      <c r="C251">
        <f t="shared" si="9"/>
        <v>1991</v>
      </c>
      <c r="D251">
        <f t="shared" si="10"/>
        <v>11</v>
      </c>
      <c r="E251" s="7" cm="1">
        <f t="array" ref="E251">LOOKUP(12, D:D/(C:C = C251 - 1), B:B)</f>
        <v>373.8</v>
      </c>
      <c r="F251">
        <f t="shared" si="11"/>
        <v>1.4015516318887105</v>
      </c>
    </row>
    <row r="252" spans="1:6" ht="17" x14ac:dyDescent="0.25">
      <c r="A252" s="2">
        <v>33603</v>
      </c>
      <c r="B252" s="3">
        <v>586.34</v>
      </c>
      <c r="C252">
        <f t="shared" si="9"/>
        <v>1991</v>
      </c>
      <c r="D252">
        <f t="shared" si="10"/>
        <v>12</v>
      </c>
      <c r="E252" s="7" cm="1">
        <f t="array" ref="E252">LOOKUP(12, D:D/(C:C = C252 - 1), B:B)</f>
        <v>373.8</v>
      </c>
      <c r="F252">
        <f t="shared" si="11"/>
        <v>1.5685928303905832</v>
      </c>
    </row>
    <row r="253" spans="1:6" ht="17" x14ac:dyDescent="0.25">
      <c r="A253" s="2">
        <v>33634</v>
      </c>
      <c r="B253" s="3">
        <v>620.21</v>
      </c>
      <c r="C253">
        <f t="shared" si="9"/>
        <v>1992</v>
      </c>
      <c r="D253">
        <f t="shared" si="10"/>
        <v>1</v>
      </c>
      <c r="E253" s="7" cm="1">
        <f t="array" ref="E253">LOOKUP(12, D:D/(C:C = C253 - 1), B:B)</f>
        <v>586.34</v>
      </c>
      <c r="F253">
        <f t="shared" si="11"/>
        <v>1.0577651192141078</v>
      </c>
    </row>
    <row r="254" spans="1:6" ht="17" x14ac:dyDescent="0.25">
      <c r="A254" s="2">
        <v>33662</v>
      </c>
      <c r="B254" s="3">
        <v>633.47</v>
      </c>
      <c r="C254">
        <f t="shared" si="9"/>
        <v>1992</v>
      </c>
      <c r="D254">
        <f t="shared" si="10"/>
        <v>2</v>
      </c>
      <c r="E254" s="7" cm="1">
        <f t="array" ref="E254">LOOKUP(12, D:D/(C:C = C254 - 1), B:B)</f>
        <v>586.34</v>
      </c>
      <c r="F254">
        <f t="shared" si="11"/>
        <v>1.080379984309445</v>
      </c>
    </row>
    <row r="255" spans="1:6" ht="17" x14ac:dyDescent="0.25">
      <c r="A255" s="2">
        <v>33694</v>
      </c>
      <c r="B255" s="3">
        <v>603.77</v>
      </c>
      <c r="C255">
        <f t="shared" si="9"/>
        <v>1992</v>
      </c>
      <c r="D255">
        <f t="shared" si="10"/>
        <v>3</v>
      </c>
      <c r="E255" s="7" cm="1">
        <f t="array" ref="E255">LOOKUP(12, D:D/(C:C = C255 - 1), B:B)</f>
        <v>586.34</v>
      </c>
      <c r="F255">
        <f t="shared" si="11"/>
        <v>1.0297267796841423</v>
      </c>
    </row>
    <row r="256" spans="1:6" ht="17" x14ac:dyDescent="0.25">
      <c r="A256" s="2">
        <v>33724</v>
      </c>
      <c r="B256" s="3">
        <v>578.67999999999995</v>
      </c>
      <c r="C256">
        <f t="shared" si="9"/>
        <v>1992</v>
      </c>
      <c r="D256">
        <f t="shared" si="10"/>
        <v>4</v>
      </c>
      <c r="E256" s="7" cm="1">
        <f t="array" ref="E256">LOOKUP(12, D:D/(C:C = C256 - 1), B:B)</f>
        <v>586.34</v>
      </c>
      <c r="F256">
        <f t="shared" si="11"/>
        <v>0.98693590749394533</v>
      </c>
    </row>
    <row r="257" spans="1:6" ht="17" x14ac:dyDescent="0.25">
      <c r="A257" s="2">
        <v>33753</v>
      </c>
      <c r="B257" s="3">
        <v>585.30999999999995</v>
      </c>
      <c r="C257">
        <f t="shared" si="9"/>
        <v>1992</v>
      </c>
      <c r="D257">
        <f t="shared" si="10"/>
        <v>5</v>
      </c>
      <c r="E257" s="7" cm="1">
        <f t="array" ref="E257">LOOKUP(12, D:D/(C:C = C257 - 1), B:B)</f>
        <v>586.34</v>
      </c>
      <c r="F257">
        <f t="shared" si="11"/>
        <v>0.99824334004161397</v>
      </c>
    </row>
    <row r="258" spans="1:6" ht="17" x14ac:dyDescent="0.25">
      <c r="A258" s="2">
        <v>33785</v>
      </c>
      <c r="B258" s="3">
        <v>563.6</v>
      </c>
      <c r="C258">
        <f t="shared" ref="C258:C321" si="12">YEAR(A258)</f>
        <v>1992</v>
      </c>
      <c r="D258">
        <f t="shared" ref="D258:D321" si="13">MONTH(A258)</f>
        <v>6</v>
      </c>
      <c r="E258" s="7" cm="1">
        <f t="array" ref="E258">LOOKUP(12, D:D/(C:C = C258 - 1), B:B)</f>
        <v>586.34</v>
      </c>
      <c r="F258">
        <f t="shared" si="11"/>
        <v>0.9612170413070914</v>
      </c>
    </row>
    <row r="259" spans="1:6" ht="17" x14ac:dyDescent="0.25">
      <c r="A259" s="2">
        <v>33816</v>
      </c>
      <c r="B259" s="3">
        <v>580.83000000000004</v>
      </c>
      <c r="C259">
        <f t="shared" si="12"/>
        <v>1992</v>
      </c>
      <c r="D259">
        <f t="shared" si="13"/>
        <v>7</v>
      </c>
      <c r="E259" s="7" cm="1">
        <f t="array" ref="E259">LOOKUP(12, D:D/(C:C = C259 - 1), B:B)</f>
        <v>586.34</v>
      </c>
      <c r="F259">
        <f t="shared" ref="F259:F322" si="14">B259/E259</f>
        <v>0.99060272197018795</v>
      </c>
    </row>
    <row r="260" spans="1:6" ht="17" x14ac:dyDescent="0.25">
      <c r="A260" s="2">
        <v>33847</v>
      </c>
      <c r="B260" s="3">
        <v>563.12</v>
      </c>
      <c r="C260">
        <f t="shared" si="12"/>
        <v>1992</v>
      </c>
      <c r="D260">
        <f t="shared" si="13"/>
        <v>8</v>
      </c>
      <c r="E260" s="7" cm="1">
        <f t="array" ref="E260">LOOKUP(12, D:D/(C:C = C260 - 1), B:B)</f>
        <v>586.34</v>
      </c>
      <c r="F260">
        <f t="shared" si="14"/>
        <v>0.96039840365658147</v>
      </c>
    </row>
    <row r="261" spans="1:6" ht="17" x14ac:dyDescent="0.25">
      <c r="A261" s="2">
        <v>33877</v>
      </c>
      <c r="B261" s="3">
        <v>583.27</v>
      </c>
      <c r="C261">
        <f t="shared" si="12"/>
        <v>1992</v>
      </c>
      <c r="D261">
        <f t="shared" si="13"/>
        <v>9</v>
      </c>
      <c r="E261" s="7" cm="1">
        <f t="array" ref="E261">LOOKUP(12, D:D/(C:C = C261 - 1), B:B)</f>
        <v>586.34</v>
      </c>
      <c r="F261">
        <f t="shared" si="14"/>
        <v>0.99476413002694675</v>
      </c>
    </row>
    <row r="262" spans="1:6" ht="17" x14ac:dyDescent="0.25">
      <c r="A262" s="2">
        <v>33907</v>
      </c>
      <c r="B262" s="3">
        <v>605.16999999999996</v>
      </c>
      <c r="C262">
        <f t="shared" si="12"/>
        <v>1992</v>
      </c>
      <c r="D262">
        <f t="shared" si="13"/>
        <v>10</v>
      </c>
      <c r="E262" s="7" cm="1">
        <f t="array" ref="E262">LOOKUP(12, D:D/(C:C = C262 - 1), B:B)</f>
        <v>586.34</v>
      </c>
      <c r="F262">
        <f t="shared" si="14"/>
        <v>1.0321144728314628</v>
      </c>
    </row>
    <row r="263" spans="1:6" ht="17" x14ac:dyDescent="0.25">
      <c r="A263" s="2">
        <v>33938</v>
      </c>
      <c r="B263" s="3">
        <v>652.73</v>
      </c>
      <c r="C263">
        <f t="shared" si="12"/>
        <v>1992</v>
      </c>
      <c r="D263">
        <f t="shared" si="13"/>
        <v>11</v>
      </c>
      <c r="E263" s="7" cm="1">
        <f t="array" ref="E263">LOOKUP(12, D:D/(C:C = C263 - 1), B:B)</f>
        <v>586.34</v>
      </c>
      <c r="F263">
        <f t="shared" si="14"/>
        <v>1.1132278200361565</v>
      </c>
    </row>
    <row r="264" spans="1:6" ht="17" x14ac:dyDescent="0.25">
      <c r="A264" s="2">
        <v>33969</v>
      </c>
      <c r="B264" s="3">
        <v>676.95</v>
      </c>
      <c r="C264">
        <f t="shared" si="12"/>
        <v>1992</v>
      </c>
      <c r="D264">
        <f t="shared" si="13"/>
        <v>12</v>
      </c>
      <c r="E264" s="7" cm="1">
        <f t="array" ref="E264">LOOKUP(12, D:D/(C:C = C264 - 1), B:B)</f>
        <v>586.34</v>
      </c>
      <c r="F264">
        <f t="shared" si="14"/>
        <v>1.154534911484804</v>
      </c>
    </row>
    <row r="265" spans="1:6" ht="17" x14ac:dyDescent="0.25">
      <c r="A265" s="2">
        <v>33998</v>
      </c>
      <c r="B265" s="3">
        <v>696.34</v>
      </c>
      <c r="C265">
        <f t="shared" si="12"/>
        <v>1993</v>
      </c>
      <c r="D265">
        <f t="shared" si="13"/>
        <v>1</v>
      </c>
      <c r="E265" s="7" cm="1">
        <f t="array" ref="E265">LOOKUP(12, D:D/(C:C = C265 - 1), B:B)</f>
        <v>676.95</v>
      </c>
      <c r="F265">
        <f t="shared" si="14"/>
        <v>1.028643178964473</v>
      </c>
    </row>
    <row r="266" spans="1:6" ht="17" x14ac:dyDescent="0.25">
      <c r="A266" s="2">
        <v>34026</v>
      </c>
      <c r="B266" s="3">
        <v>670.77</v>
      </c>
      <c r="C266">
        <f t="shared" si="12"/>
        <v>1993</v>
      </c>
      <c r="D266">
        <f t="shared" si="13"/>
        <v>2</v>
      </c>
      <c r="E266" s="7" cm="1">
        <f t="array" ref="E266">LOOKUP(12, D:D/(C:C = C266 - 1), B:B)</f>
        <v>676.95</v>
      </c>
      <c r="F266">
        <f t="shared" si="14"/>
        <v>0.99087081763793472</v>
      </c>
    </row>
    <row r="267" spans="1:6" ht="17" x14ac:dyDescent="0.25">
      <c r="A267" s="2">
        <v>34059</v>
      </c>
      <c r="B267" s="3">
        <v>690.13</v>
      </c>
      <c r="C267">
        <f t="shared" si="12"/>
        <v>1993</v>
      </c>
      <c r="D267">
        <f t="shared" si="13"/>
        <v>3</v>
      </c>
      <c r="E267" s="7" cm="1">
        <f t="array" ref="E267">LOOKUP(12, D:D/(C:C = C267 - 1), B:B)</f>
        <v>676.95</v>
      </c>
      <c r="F267">
        <f t="shared" si="14"/>
        <v>1.0194696801831744</v>
      </c>
    </row>
    <row r="268" spans="1:6" ht="17" x14ac:dyDescent="0.25">
      <c r="A268" s="2">
        <v>34089</v>
      </c>
      <c r="B268" s="3">
        <v>661.42</v>
      </c>
      <c r="C268">
        <f t="shared" si="12"/>
        <v>1993</v>
      </c>
      <c r="D268">
        <f t="shared" si="13"/>
        <v>4</v>
      </c>
      <c r="E268" s="7" cm="1">
        <f t="array" ref="E268">LOOKUP(12, D:D/(C:C = C268 - 1), B:B)</f>
        <v>676.95</v>
      </c>
      <c r="F268">
        <f t="shared" si="14"/>
        <v>0.97705886697688149</v>
      </c>
    </row>
    <row r="269" spans="1:6" ht="17" x14ac:dyDescent="0.25">
      <c r="A269" s="2">
        <v>34117</v>
      </c>
      <c r="B269" s="3">
        <v>700.53</v>
      </c>
      <c r="C269">
        <f t="shared" si="12"/>
        <v>1993</v>
      </c>
      <c r="D269">
        <f t="shared" si="13"/>
        <v>5</v>
      </c>
      <c r="E269" s="7" cm="1">
        <f t="array" ref="E269">LOOKUP(12, D:D/(C:C = C269 - 1), B:B)</f>
        <v>676.95</v>
      </c>
      <c r="F269">
        <f t="shared" si="14"/>
        <v>1.034832705517394</v>
      </c>
    </row>
    <row r="270" spans="1:6" ht="17" x14ac:dyDescent="0.25">
      <c r="A270" s="2">
        <v>34150</v>
      </c>
      <c r="B270" s="3">
        <v>703.95</v>
      </c>
      <c r="C270">
        <f t="shared" si="12"/>
        <v>1993</v>
      </c>
      <c r="D270">
        <f t="shared" si="13"/>
        <v>6</v>
      </c>
      <c r="E270" s="7" cm="1">
        <f t="array" ref="E270">LOOKUP(12, D:D/(C:C = C270 - 1), B:B)</f>
        <v>676.95</v>
      </c>
      <c r="F270">
        <f t="shared" si="14"/>
        <v>1.0398847773099933</v>
      </c>
    </row>
    <row r="271" spans="1:6" ht="17" x14ac:dyDescent="0.25">
      <c r="A271" s="2">
        <v>34180</v>
      </c>
      <c r="B271" s="3">
        <v>704.7</v>
      </c>
      <c r="C271">
        <f t="shared" si="12"/>
        <v>1993</v>
      </c>
      <c r="D271">
        <f t="shared" si="13"/>
        <v>7</v>
      </c>
      <c r="E271" s="7" cm="1">
        <f t="array" ref="E271">LOOKUP(12, D:D/(C:C = C271 - 1), B:B)</f>
        <v>676.95</v>
      </c>
      <c r="F271">
        <f t="shared" si="14"/>
        <v>1.0409926877908264</v>
      </c>
    </row>
    <row r="272" spans="1:6" ht="17" x14ac:dyDescent="0.25">
      <c r="A272" s="2">
        <v>34212</v>
      </c>
      <c r="B272" s="3">
        <v>742.84</v>
      </c>
      <c r="C272">
        <f t="shared" si="12"/>
        <v>1993</v>
      </c>
      <c r="D272">
        <f t="shared" si="13"/>
        <v>8</v>
      </c>
      <c r="E272" s="7" cm="1">
        <f t="array" ref="E272">LOOKUP(12, D:D/(C:C = C272 - 1), B:B)</f>
        <v>676.95</v>
      </c>
      <c r="F272">
        <f t="shared" si="14"/>
        <v>1.0973336287761282</v>
      </c>
    </row>
    <row r="273" spans="1:6" ht="17" x14ac:dyDescent="0.25">
      <c r="A273" s="2">
        <v>34242</v>
      </c>
      <c r="B273" s="3">
        <v>762.78</v>
      </c>
      <c r="C273">
        <f t="shared" si="12"/>
        <v>1993</v>
      </c>
      <c r="D273">
        <f t="shared" si="13"/>
        <v>9</v>
      </c>
      <c r="E273" s="7" cm="1">
        <f t="array" ref="E273">LOOKUP(12, D:D/(C:C = C273 - 1), B:B)</f>
        <v>676.95</v>
      </c>
      <c r="F273">
        <f t="shared" si="14"/>
        <v>1.1267892754265454</v>
      </c>
    </row>
    <row r="274" spans="1:6" ht="17" x14ac:dyDescent="0.25">
      <c r="A274" s="2">
        <v>34271</v>
      </c>
      <c r="B274" s="3">
        <v>779.26</v>
      </c>
      <c r="C274">
        <f t="shared" si="12"/>
        <v>1993</v>
      </c>
      <c r="D274">
        <f t="shared" si="13"/>
        <v>10</v>
      </c>
      <c r="E274" s="7" cm="1">
        <f t="array" ref="E274">LOOKUP(12, D:D/(C:C = C274 - 1), B:B)</f>
        <v>676.95</v>
      </c>
      <c r="F274">
        <f t="shared" si="14"/>
        <v>1.1511337617253858</v>
      </c>
    </row>
    <row r="275" spans="1:6" ht="17" x14ac:dyDescent="0.25">
      <c r="A275" s="2">
        <v>34303</v>
      </c>
      <c r="B275" s="3">
        <v>754.39</v>
      </c>
      <c r="C275">
        <f t="shared" si="12"/>
        <v>1993</v>
      </c>
      <c r="D275">
        <f t="shared" si="13"/>
        <v>11</v>
      </c>
      <c r="E275" s="7" cm="1">
        <f t="array" ref="E275">LOOKUP(12, D:D/(C:C = C275 - 1), B:B)</f>
        <v>676.95</v>
      </c>
      <c r="F275">
        <f t="shared" si="14"/>
        <v>1.1143954501809585</v>
      </c>
    </row>
    <row r="276" spans="1:6" ht="17" x14ac:dyDescent="0.25">
      <c r="A276" s="2">
        <v>34334</v>
      </c>
      <c r="B276" s="3">
        <v>776.8</v>
      </c>
      <c r="C276">
        <f t="shared" si="12"/>
        <v>1993</v>
      </c>
      <c r="D276">
        <f t="shared" si="13"/>
        <v>12</v>
      </c>
      <c r="E276" s="7" cm="1">
        <f t="array" ref="E276">LOOKUP(12, D:D/(C:C = C276 - 1), B:B)</f>
        <v>676.95</v>
      </c>
      <c r="F276">
        <f t="shared" si="14"/>
        <v>1.147499815348253</v>
      </c>
    </row>
    <row r="277" spans="1:6" ht="17" x14ac:dyDescent="0.25">
      <c r="A277" s="2">
        <v>34365</v>
      </c>
      <c r="B277" s="3">
        <v>800.47</v>
      </c>
      <c r="C277">
        <f t="shared" si="12"/>
        <v>1994</v>
      </c>
      <c r="D277">
        <f t="shared" si="13"/>
        <v>1</v>
      </c>
      <c r="E277" s="7" cm="1">
        <f t="array" ref="E277">LOOKUP(12, D:D/(C:C = C277 - 1), B:B)</f>
        <v>776.8</v>
      </c>
      <c r="F277">
        <f t="shared" si="14"/>
        <v>1.0304711637487127</v>
      </c>
    </row>
    <row r="278" spans="1:6" ht="17" x14ac:dyDescent="0.25">
      <c r="A278" s="2">
        <v>34393</v>
      </c>
      <c r="B278" s="3">
        <v>792.5</v>
      </c>
      <c r="C278">
        <f t="shared" si="12"/>
        <v>1994</v>
      </c>
      <c r="D278">
        <f t="shared" si="13"/>
        <v>2</v>
      </c>
      <c r="E278" s="7" cm="1">
        <f t="array" ref="E278">LOOKUP(12, D:D/(C:C = C278 - 1), B:B)</f>
        <v>776.8</v>
      </c>
      <c r="F278">
        <f t="shared" si="14"/>
        <v>1.020211122554068</v>
      </c>
    </row>
    <row r="279" spans="1:6" ht="17" x14ac:dyDescent="0.25">
      <c r="A279" s="2">
        <v>34424</v>
      </c>
      <c r="B279" s="3">
        <v>743.46</v>
      </c>
      <c r="C279">
        <f t="shared" si="12"/>
        <v>1994</v>
      </c>
      <c r="D279">
        <f t="shared" si="13"/>
        <v>3</v>
      </c>
      <c r="E279" s="7" cm="1">
        <f t="array" ref="E279">LOOKUP(12, D:D/(C:C = C279 - 1), B:B)</f>
        <v>776.8</v>
      </c>
      <c r="F279">
        <f t="shared" si="14"/>
        <v>0.95708032955715772</v>
      </c>
    </row>
    <row r="280" spans="1:6" ht="17" x14ac:dyDescent="0.25">
      <c r="A280" s="2">
        <v>34453</v>
      </c>
      <c r="B280" s="3">
        <v>733.84</v>
      </c>
      <c r="C280">
        <f t="shared" si="12"/>
        <v>1994</v>
      </c>
      <c r="D280">
        <f t="shared" si="13"/>
        <v>4</v>
      </c>
      <c r="E280" s="7" cm="1">
        <f t="array" ref="E280">LOOKUP(12, D:D/(C:C = C280 - 1), B:B)</f>
        <v>776.8</v>
      </c>
      <c r="F280">
        <f t="shared" si="14"/>
        <v>0.94469618949536571</v>
      </c>
    </row>
    <row r="281" spans="1:6" ht="17" x14ac:dyDescent="0.25">
      <c r="A281" s="2">
        <v>34485</v>
      </c>
      <c r="B281" s="3">
        <v>735.19</v>
      </c>
      <c r="C281">
        <f t="shared" si="12"/>
        <v>1994</v>
      </c>
      <c r="D281">
        <f t="shared" si="13"/>
        <v>5</v>
      </c>
      <c r="E281" s="7" cm="1">
        <f t="array" ref="E281">LOOKUP(12, D:D/(C:C = C281 - 1), B:B)</f>
        <v>776.8</v>
      </c>
      <c r="F281">
        <f t="shared" si="14"/>
        <v>0.94643408856848621</v>
      </c>
    </row>
    <row r="282" spans="1:6" ht="17" x14ac:dyDescent="0.25">
      <c r="A282" s="2">
        <v>34515</v>
      </c>
      <c r="B282" s="3">
        <v>705.96</v>
      </c>
      <c r="C282">
        <f t="shared" si="12"/>
        <v>1994</v>
      </c>
      <c r="D282">
        <f t="shared" si="13"/>
        <v>6</v>
      </c>
      <c r="E282" s="7" cm="1">
        <f t="array" ref="E282">LOOKUP(12, D:D/(C:C = C282 - 1), B:B)</f>
        <v>776.8</v>
      </c>
      <c r="F282">
        <f t="shared" si="14"/>
        <v>0.90880535530381057</v>
      </c>
    </row>
    <row r="283" spans="1:6" ht="17" x14ac:dyDescent="0.25">
      <c r="A283" s="2">
        <v>34544</v>
      </c>
      <c r="B283" s="3">
        <v>722.16</v>
      </c>
      <c r="C283">
        <f t="shared" si="12"/>
        <v>1994</v>
      </c>
      <c r="D283">
        <f t="shared" si="13"/>
        <v>7</v>
      </c>
      <c r="E283" s="7" cm="1">
        <f t="array" ref="E283">LOOKUP(12, D:D/(C:C = C283 - 1), B:B)</f>
        <v>776.8</v>
      </c>
      <c r="F283">
        <f t="shared" si="14"/>
        <v>0.92966014418125642</v>
      </c>
    </row>
    <row r="284" spans="1:6" ht="17" x14ac:dyDescent="0.25">
      <c r="A284" s="2">
        <v>34577</v>
      </c>
      <c r="B284" s="3">
        <v>765.62</v>
      </c>
      <c r="C284">
        <f t="shared" si="12"/>
        <v>1994</v>
      </c>
      <c r="D284">
        <f t="shared" si="13"/>
        <v>8</v>
      </c>
      <c r="E284" s="7" cm="1">
        <f t="array" ref="E284">LOOKUP(12, D:D/(C:C = C284 - 1), B:B)</f>
        <v>776.8</v>
      </c>
      <c r="F284">
        <f t="shared" si="14"/>
        <v>0.98560762100926891</v>
      </c>
    </row>
    <row r="285" spans="1:6" ht="17" x14ac:dyDescent="0.25">
      <c r="A285" s="2">
        <v>34607</v>
      </c>
      <c r="B285" s="3">
        <v>764.29</v>
      </c>
      <c r="C285">
        <f t="shared" si="12"/>
        <v>1994</v>
      </c>
      <c r="D285">
        <f t="shared" si="13"/>
        <v>9</v>
      </c>
      <c r="E285" s="7" cm="1">
        <f t="array" ref="E285">LOOKUP(12, D:D/(C:C = C285 - 1), B:B)</f>
        <v>776.8</v>
      </c>
      <c r="F285">
        <f t="shared" si="14"/>
        <v>0.98389546858908339</v>
      </c>
    </row>
    <row r="286" spans="1:6" ht="17" x14ac:dyDescent="0.25">
      <c r="A286" s="2">
        <v>34638</v>
      </c>
      <c r="B286" s="3">
        <v>777.49</v>
      </c>
      <c r="C286">
        <f t="shared" si="12"/>
        <v>1994</v>
      </c>
      <c r="D286">
        <f t="shared" si="13"/>
        <v>10</v>
      </c>
      <c r="E286" s="7" cm="1">
        <f t="array" ref="E286">LOOKUP(12, D:D/(C:C = C286 - 1), B:B)</f>
        <v>776.8</v>
      </c>
      <c r="F286">
        <f t="shared" si="14"/>
        <v>1.0008882595262616</v>
      </c>
    </row>
    <row r="287" spans="1:6" ht="17" x14ac:dyDescent="0.25">
      <c r="A287" s="2">
        <v>34668</v>
      </c>
      <c r="B287" s="3">
        <v>750.32</v>
      </c>
      <c r="C287">
        <f t="shared" si="12"/>
        <v>1994</v>
      </c>
      <c r="D287">
        <f t="shared" si="13"/>
        <v>11</v>
      </c>
      <c r="E287" s="7" cm="1">
        <f t="array" ref="E287">LOOKUP(12, D:D/(C:C = C287 - 1), B:B)</f>
        <v>776.8</v>
      </c>
      <c r="F287">
        <f t="shared" si="14"/>
        <v>0.96591143151390335</v>
      </c>
    </row>
    <row r="288" spans="1:6" ht="17" x14ac:dyDescent="0.25">
      <c r="A288" s="2">
        <v>34698</v>
      </c>
      <c r="B288" s="3">
        <v>751.96</v>
      </c>
      <c r="C288">
        <f t="shared" si="12"/>
        <v>1994</v>
      </c>
      <c r="D288">
        <f t="shared" si="13"/>
        <v>12</v>
      </c>
      <c r="E288" s="7" cm="1">
        <f t="array" ref="E288">LOOKUP(12, D:D/(C:C = C288 - 1), B:B)</f>
        <v>776.8</v>
      </c>
      <c r="F288">
        <f t="shared" si="14"/>
        <v>0.96802265705458301</v>
      </c>
    </row>
    <row r="289" spans="1:6" ht="17" x14ac:dyDescent="0.25">
      <c r="A289" s="2">
        <v>34730</v>
      </c>
      <c r="B289" s="3">
        <v>755.2</v>
      </c>
      <c r="C289">
        <f t="shared" si="12"/>
        <v>1995</v>
      </c>
      <c r="D289">
        <f t="shared" si="13"/>
        <v>1</v>
      </c>
      <c r="E289" s="7" cm="1">
        <f t="array" ref="E289">LOOKUP(12, D:D/(C:C = C289 - 1), B:B)</f>
        <v>751.96</v>
      </c>
      <c r="F289">
        <f t="shared" si="14"/>
        <v>1.0043087398265866</v>
      </c>
    </row>
    <row r="290" spans="1:6" ht="17" x14ac:dyDescent="0.25">
      <c r="A290" s="2">
        <v>34758</v>
      </c>
      <c r="B290" s="3">
        <v>793.73</v>
      </c>
      <c r="C290">
        <f t="shared" si="12"/>
        <v>1995</v>
      </c>
      <c r="D290">
        <f t="shared" si="13"/>
        <v>2</v>
      </c>
      <c r="E290" s="7" cm="1">
        <f t="array" ref="E290">LOOKUP(12, D:D/(C:C = C290 - 1), B:B)</f>
        <v>751.96</v>
      </c>
      <c r="F290">
        <f t="shared" si="14"/>
        <v>1.0555481674557157</v>
      </c>
    </row>
    <row r="291" spans="1:6" ht="17" x14ac:dyDescent="0.25">
      <c r="A291" s="2">
        <v>34789</v>
      </c>
      <c r="B291" s="3">
        <v>817.21</v>
      </c>
      <c r="C291">
        <f t="shared" si="12"/>
        <v>1995</v>
      </c>
      <c r="D291">
        <f t="shared" si="13"/>
        <v>3</v>
      </c>
      <c r="E291" s="7" cm="1">
        <f t="array" ref="E291">LOOKUP(12, D:D/(C:C = C291 - 1), B:B)</f>
        <v>751.96</v>
      </c>
      <c r="F291">
        <f t="shared" si="14"/>
        <v>1.0867732326187562</v>
      </c>
    </row>
    <row r="292" spans="1:6" ht="17" x14ac:dyDescent="0.25">
      <c r="A292" s="2">
        <v>34817</v>
      </c>
      <c r="B292" s="3">
        <v>843.98</v>
      </c>
      <c r="C292">
        <f t="shared" si="12"/>
        <v>1995</v>
      </c>
      <c r="D292">
        <f t="shared" si="13"/>
        <v>4</v>
      </c>
      <c r="E292" s="7" cm="1">
        <f t="array" ref="E292">LOOKUP(12, D:D/(C:C = C292 - 1), B:B)</f>
        <v>751.96</v>
      </c>
      <c r="F292">
        <f t="shared" si="14"/>
        <v>1.1223735305069418</v>
      </c>
    </row>
    <row r="293" spans="1:6" ht="17" x14ac:dyDescent="0.25">
      <c r="A293" s="2">
        <v>34850</v>
      </c>
      <c r="B293" s="3">
        <v>864.58</v>
      </c>
      <c r="C293">
        <f t="shared" si="12"/>
        <v>1995</v>
      </c>
      <c r="D293">
        <f t="shared" si="13"/>
        <v>5</v>
      </c>
      <c r="E293" s="7" cm="1">
        <f t="array" ref="E293">LOOKUP(12, D:D/(C:C = C293 - 1), B:B)</f>
        <v>751.96</v>
      </c>
      <c r="F293">
        <f t="shared" si="14"/>
        <v>1.1497686047130167</v>
      </c>
    </row>
    <row r="294" spans="1:6" ht="17" x14ac:dyDescent="0.25">
      <c r="A294" s="2">
        <v>34880</v>
      </c>
      <c r="B294" s="3">
        <v>933.45</v>
      </c>
      <c r="C294">
        <f t="shared" si="12"/>
        <v>1995</v>
      </c>
      <c r="D294">
        <f t="shared" si="13"/>
        <v>6</v>
      </c>
      <c r="E294" s="7" cm="1">
        <f t="array" ref="E294">LOOKUP(12, D:D/(C:C = C294 - 1), B:B)</f>
        <v>751.96</v>
      </c>
      <c r="F294">
        <f t="shared" si="14"/>
        <v>1.2413559231874036</v>
      </c>
    </row>
    <row r="295" spans="1:6" ht="17" x14ac:dyDescent="0.25">
      <c r="A295" s="2">
        <v>34911</v>
      </c>
      <c r="B295" s="3">
        <v>1001.21</v>
      </c>
      <c r="C295">
        <f t="shared" si="12"/>
        <v>1995</v>
      </c>
      <c r="D295">
        <f t="shared" si="13"/>
        <v>7</v>
      </c>
      <c r="E295" s="7" cm="1">
        <f t="array" ref="E295">LOOKUP(12, D:D/(C:C = C295 - 1), B:B)</f>
        <v>751.96</v>
      </c>
      <c r="F295">
        <f t="shared" si="14"/>
        <v>1.3314670993137934</v>
      </c>
    </row>
    <row r="296" spans="1:6" ht="17" x14ac:dyDescent="0.25">
      <c r="A296" s="2">
        <v>34942</v>
      </c>
      <c r="B296" s="3">
        <v>1020.11</v>
      </c>
      <c r="C296">
        <f t="shared" si="12"/>
        <v>1995</v>
      </c>
      <c r="D296">
        <f t="shared" si="13"/>
        <v>8</v>
      </c>
      <c r="E296" s="7" cm="1">
        <f t="array" ref="E296">LOOKUP(12, D:D/(C:C = C296 - 1), B:B)</f>
        <v>751.96</v>
      </c>
      <c r="F296">
        <f t="shared" si="14"/>
        <v>1.3566014149688812</v>
      </c>
    </row>
    <row r="297" spans="1:6" ht="17" x14ac:dyDescent="0.25">
      <c r="A297" s="2">
        <v>34971</v>
      </c>
      <c r="B297" s="3">
        <v>1043.54</v>
      </c>
      <c r="C297">
        <f t="shared" si="12"/>
        <v>1995</v>
      </c>
      <c r="D297">
        <f t="shared" si="13"/>
        <v>9</v>
      </c>
      <c r="E297" s="7" cm="1">
        <f t="array" ref="E297">LOOKUP(12, D:D/(C:C = C297 - 1), B:B)</f>
        <v>751.96</v>
      </c>
      <c r="F297">
        <f t="shared" si="14"/>
        <v>1.3877599872333635</v>
      </c>
    </row>
    <row r="298" spans="1:6" ht="17" x14ac:dyDescent="0.25">
      <c r="A298" s="2">
        <v>35003</v>
      </c>
      <c r="B298" s="3">
        <v>1036.06</v>
      </c>
      <c r="C298">
        <f t="shared" si="12"/>
        <v>1995</v>
      </c>
      <c r="D298">
        <f t="shared" si="13"/>
        <v>10</v>
      </c>
      <c r="E298" s="7" cm="1">
        <f t="array" ref="E298">LOOKUP(12, D:D/(C:C = C298 - 1), B:B)</f>
        <v>751.96</v>
      </c>
      <c r="F298">
        <f t="shared" si="14"/>
        <v>1.3778126496090217</v>
      </c>
    </row>
    <row r="299" spans="1:6" ht="17" x14ac:dyDescent="0.25">
      <c r="A299" s="2">
        <v>35033</v>
      </c>
      <c r="B299" s="3">
        <v>1059.2</v>
      </c>
      <c r="C299">
        <f t="shared" si="12"/>
        <v>1995</v>
      </c>
      <c r="D299">
        <f t="shared" si="13"/>
        <v>11</v>
      </c>
      <c r="E299" s="7" cm="1">
        <f t="array" ref="E299">LOOKUP(12, D:D/(C:C = C299 - 1), B:B)</f>
        <v>751.96</v>
      </c>
      <c r="F299">
        <f t="shared" si="14"/>
        <v>1.4085855630618649</v>
      </c>
    </row>
    <row r="300" spans="1:6" ht="17" x14ac:dyDescent="0.25">
      <c r="A300" s="2">
        <v>35062</v>
      </c>
      <c r="B300" s="3">
        <v>1052.1300000000001</v>
      </c>
      <c r="C300">
        <f t="shared" si="12"/>
        <v>1995</v>
      </c>
      <c r="D300">
        <f t="shared" si="13"/>
        <v>12</v>
      </c>
      <c r="E300" s="7" cm="1">
        <f t="array" ref="E300">LOOKUP(12, D:D/(C:C = C300 - 1), B:B)</f>
        <v>751.96</v>
      </c>
      <c r="F300">
        <f t="shared" si="14"/>
        <v>1.3991834672057024</v>
      </c>
    </row>
    <row r="301" spans="1:6" ht="17" x14ac:dyDescent="0.25">
      <c r="A301" s="2">
        <v>35095</v>
      </c>
      <c r="B301" s="3">
        <v>1059.79</v>
      </c>
      <c r="C301">
        <f t="shared" si="12"/>
        <v>1996</v>
      </c>
      <c r="D301">
        <f t="shared" si="13"/>
        <v>1</v>
      </c>
      <c r="E301" s="7" cm="1">
        <f t="array" ref="E301">LOOKUP(12, D:D/(C:C = C301 - 1), B:B)</f>
        <v>1052.1300000000001</v>
      </c>
      <c r="F301">
        <f t="shared" si="14"/>
        <v>1.0072804691435469</v>
      </c>
    </row>
    <row r="302" spans="1:6" ht="17" x14ac:dyDescent="0.25">
      <c r="A302" s="2">
        <v>35124</v>
      </c>
      <c r="B302" s="3">
        <v>1100.05</v>
      </c>
      <c r="C302">
        <f t="shared" si="12"/>
        <v>1996</v>
      </c>
      <c r="D302">
        <f t="shared" si="13"/>
        <v>2</v>
      </c>
      <c r="E302" s="7" cm="1">
        <f t="array" ref="E302">LOOKUP(12, D:D/(C:C = C302 - 1), B:B)</f>
        <v>1052.1300000000001</v>
      </c>
      <c r="F302">
        <f t="shared" si="14"/>
        <v>1.0455457025272541</v>
      </c>
    </row>
    <row r="303" spans="1:6" ht="17" x14ac:dyDescent="0.25">
      <c r="A303" s="2">
        <v>35153</v>
      </c>
      <c r="B303" s="3">
        <v>1101.4000000000001</v>
      </c>
      <c r="C303">
        <f t="shared" si="12"/>
        <v>1996</v>
      </c>
      <c r="D303">
        <f t="shared" si="13"/>
        <v>3</v>
      </c>
      <c r="E303" s="7" cm="1">
        <f t="array" ref="E303">LOOKUP(12, D:D/(C:C = C303 - 1), B:B)</f>
        <v>1052.1300000000001</v>
      </c>
      <c r="F303">
        <f t="shared" si="14"/>
        <v>1.0468288139298376</v>
      </c>
    </row>
    <row r="304" spans="1:6" ht="17" x14ac:dyDescent="0.25">
      <c r="A304" s="2">
        <v>35185</v>
      </c>
      <c r="B304" s="3">
        <v>1190.52</v>
      </c>
      <c r="C304">
        <f t="shared" si="12"/>
        <v>1996</v>
      </c>
      <c r="D304">
        <f t="shared" si="13"/>
        <v>4</v>
      </c>
      <c r="E304" s="7" cm="1">
        <f t="array" ref="E304">LOOKUP(12, D:D/(C:C = C304 - 1), B:B)</f>
        <v>1052.1300000000001</v>
      </c>
      <c r="F304">
        <f t="shared" si="14"/>
        <v>1.1315331755581532</v>
      </c>
    </row>
    <row r="305" spans="1:6" ht="17" x14ac:dyDescent="0.25">
      <c r="A305" s="2">
        <v>35216</v>
      </c>
      <c r="B305" s="3">
        <v>1243.43</v>
      </c>
      <c r="C305">
        <f t="shared" si="12"/>
        <v>1996</v>
      </c>
      <c r="D305">
        <f t="shared" si="13"/>
        <v>5</v>
      </c>
      <c r="E305" s="7" cm="1">
        <f t="array" ref="E305">LOOKUP(12, D:D/(C:C = C305 - 1), B:B)</f>
        <v>1052.1300000000001</v>
      </c>
      <c r="F305">
        <f t="shared" si="14"/>
        <v>1.181821638010512</v>
      </c>
    </row>
    <row r="306" spans="1:6" ht="17" x14ac:dyDescent="0.25">
      <c r="A306" s="2">
        <v>35244</v>
      </c>
      <c r="B306" s="3">
        <v>1185.02</v>
      </c>
      <c r="C306">
        <f t="shared" si="12"/>
        <v>1996</v>
      </c>
      <c r="D306">
        <f t="shared" si="13"/>
        <v>6</v>
      </c>
      <c r="E306" s="7" cm="1">
        <f t="array" ref="E306">LOOKUP(12, D:D/(C:C = C306 - 1), B:B)</f>
        <v>1052.1300000000001</v>
      </c>
      <c r="F306">
        <f t="shared" si="14"/>
        <v>1.1263056846587398</v>
      </c>
    </row>
    <row r="307" spans="1:6" ht="17" x14ac:dyDescent="0.25">
      <c r="A307" s="2">
        <v>35277</v>
      </c>
      <c r="B307" s="3">
        <v>1080.5899999999999</v>
      </c>
      <c r="C307">
        <f t="shared" si="12"/>
        <v>1996</v>
      </c>
      <c r="D307">
        <f t="shared" si="13"/>
        <v>7</v>
      </c>
      <c r="E307" s="7" cm="1">
        <f t="array" ref="E307">LOOKUP(12, D:D/(C:C = C307 - 1), B:B)</f>
        <v>1052.1300000000001</v>
      </c>
      <c r="F307">
        <f t="shared" si="14"/>
        <v>1.0270498892722379</v>
      </c>
    </row>
    <row r="308" spans="1:6" ht="17" x14ac:dyDescent="0.25">
      <c r="A308" s="2">
        <v>35307</v>
      </c>
      <c r="B308" s="3">
        <v>1141.5</v>
      </c>
      <c r="C308">
        <f t="shared" si="12"/>
        <v>1996</v>
      </c>
      <c r="D308">
        <f t="shared" si="13"/>
        <v>8</v>
      </c>
      <c r="E308" s="7" cm="1">
        <f t="array" ref="E308">LOOKUP(12, D:D/(C:C = C308 - 1), B:B)</f>
        <v>1052.1300000000001</v>
      </c>
      <c r="F308">
        <f t="shared" si="14"/>
        <v>1.0849419748510163</v>
      </c>
    </row>
    <row r="309" spans="1:6" ht="17" x14ac:dyDescent="0.25">
      <c r="A309" s="2">
        <v>35338</v>
      </c>
      <c r="B309" s="3">
        <v>1226.92</v>
      </c>
      <c r="C309">
        <f t="shared" si="12"/>
        <v>1996</v>
      </c>
      <c r="D309">
        <f t="shared" si="13"/>
        <v>9</v>
      </c>
      <c r="E309" s="7" cm="1">
        <f t="array" ref="E309">LOOKUP(12, D:D/(C:C = C309 - 1), B:B)</f>
        <v>1052.1300000000001</v>
      </c>
      <c r="F309">
        <f t="shared" si="14"/>
        <v>1.1661296607833633</v>
      </c>
    </row>
    <row r="310" spans="1:6" ht="17" x14ac:dyDescent="0.25">
      <c r="A310" s="2">
        <v>35369</v>
      </c>
      <c r="B310" s="3">
        <v>1221.51</v>
      </c>
      <c r="C310">
        <f t="shared" si="12"/>
        <v>1996</v>
      </c>
      <c r="D310">
        <f t="shared" si="13"/>
        <v>10</v>
      </c>
      <c r="E310" s="7" cm="1">
        <f t="array" ref="E310">LOOKUP(12, D:D/(C:C = C310 - 1), B:B)</f>
        <v>1052.1300000000001</v>
      </c>
      <c r="F310">
        <f t="shared" si="14"/>
        <v>1.1609877106441218</v>
      </c>
    </row>
    <row r="311" spans="1:6" ht="17" x14ac:dyDescent="0.25">
      <c r="A311" s="2">
        <v>35398</v>
      </c>
      <c r="B311" s="3">
        <v>1292.6099999999999</v>
      </c>
      <c r="C311">
        <f t="shared" si="12"/>
        <v>1996</v>
      </c>
      <c r="D311">
        <f t="shared" si="13"/>
        <v>11</v>
      </c>
      <c r="E311" s="7" cm="1">
        <f t="array" ref="E311">LOOKUP(12, D:D/(C:C = C311 - 1), B:B)</f>
        <v>1052.1300000000001</v>
      </c>
      <c r="F311">
        <f t="shared" si="14"/>
        <v>1.2285649111801771</v>
      </c>
    </row>
    <row r="312" spans="1:6" ht="17" x14ac:dyDescent="0.25">
      <c r="A312" s="2">
        <v>35430</v>
      </c>
      <c r="B312" s="3">
        <v>1291.03</v>
      </c>
      <c r="C312">
        <f t="shared" si="12"/>
        <v>1996</v>
      </c>
      <c r="D312">
        <f t="shared" si="13"/>
        <v>12</v>
      </c>
      <c r="E312" s="7" cm="1">
        <f t="array" ref="E312">LOOKUP(12, D:D/(C:C = C312 - 1), B:B)</f>
        <v>1052.1300000000001</v>
      </c>
      <c r="F312">
        <f t="shared" si="14"/>
        <v>1.2270631956127094</v>
      </c>
    </row>
    <row r="313" spans="1:6" ht="17" x14ac:dyDescent="0.25">
      <c r="A313" s="2">
        <v>35461</v>
      </c>
      <c r="B313" s="3">
        <v>1379.85</v>
      </c>
      <c r="C313">
        <f t="shared" si="12"/>
        <v>1997</v>
      </c>
      <c r="D313">
        <f t="shared" si="13"/>
        <v>1</v>
      </c>
      <c r="E313" s="7" cm="1">
        <f t="array" ref="E313">LOOKUP(12, D:D/(C:C = C313 - 1), B:B)</f>
        <v>1291.03</v>
      </c>
      <c r="F313">
        <f t="shared" si="14"/>
        <v>1.0687977816162288</v>
      </c>
    </row>
    <row r="314" spans="1:6" ht="17" x14ac:dyDescent="0.25">
      <c r="A314" s="2">
        <v>35489</v>
      </c>
      <c r="B314" s="3">
        <v>1309</v>
      </c>
      <c r="C314">
        <f t="shared" si="12"/>
        <v>1997</v>
      </c>
      <c r="D314">
        <f t="shared" si="13"/>
        <v>2</v>
      </c>
      <c r="E314" s="7" cm="1">
        <f t="array" ref="E314">LOOKUP(12, D:D/(C:C = C314 - 1), B:B)</f>
        <v>1291.03</v>
      </c>
      <c r="F314">
        <f t="shared" si="14"/>
        <v>1.0139191188430943</v>
      </c>
    </row>
    <row r="315" spans="1:6" ht="17" x14ac:dyDescent="0.25">
      <c r="A315" s="2">
        <v>35520</v>
      </c>
      <c r="B315" s="3">
        <v>1221.7</v>
      </c>
      <c r="C315">
        <f t="shared" si="12"/>
        <v>1997</v>
      </c>
      <c r="D315">
        <f t="shared" si="13"/>
        <v>3</v>
      </c>
      <c r="E315" s="7" cm="1">
        <f t="array" ref="E315">LOOKUP(12, D:D/(C:C = C315 - 1), B:B)</f>
        <v>1291.03</v>
      </c>
      <c r="F315">
        <f t="shared" si="14"/>
        <v>0.94629869174225234</v>
      </c>
    </row>
    <row r="316" spans="1:6" ht="17" x14ac:dyDescent="0.25">
      <c r="A316" s="2">
        <v>35550</v>
      </c>
      <c r="B316" s="3">
        <v>1260.76</v>
      </c>
      <c r="C316">
        <f t="shared" si="12"/>
        <v>1997</v>
      </c>
      <c r="D316">
        <f t="shared" si="13"/>
        <v>4</v>
      </c>
      <c r="E316" s="7" cm="1">
        <f t="array" ref="E316">LOOKUP(12, D:D/(C:C = C316 - 1), B:B)</f>
        <v>1291.03</v>
      </c>
      <c r="F316">
        <f t="shared" si="14"/>
        <v>0.97655360448634043</v>
      </c>
    </row>
    <row r="317" spans="1:6" ht="17" x14ac:dyDescent="0.25">
      <c r="A317" s="2">
        <v>35580</v>
      </c>
      <c r="B317" s="3">
        <v>1400.32</v>
      </c>
      <c r="C317">
        <f t="shared" si="12"/>
        <v>1997</v>
      </c>
      <c r="D317">
        <f t="shared" si="13"/>
        <v>5</v>
      </c>
      <c r="E317" s="7" cm="1">
        <f t="array" ref="E317">LOOKUP(12, D:D/(C:C = C317 - 1), B:B)</f>
        <v>1291.03</v>
      </c>
      <c r="F317">
        <f t="shared" si="14"/>
        <v>1.084653338806999</v>
      </c>
    </row>
    <row r="318" spans="1:6" ht="17" x14ac:dyDescent="0.25">
      <c r="A318" s="2">
        <v>35611</v>
      </c>
      <c r="B318" s="3">
        <v>1442.07</v>
      </c>
      <c r="C318">
        <f t="shared" si="12"/>
        <v>1997</v>
      </c>
      <c r="D318">
        <f t="shared" si="13"/>
        <v>6</v>
      </c>
      <c r="E318" s="7" cm="1">
        <f t="array" ref="E318">LOOKUP(12, D:D/(C:C = C318 - 1), B:B)</f>
        <v>1291.03</v>
      </c>
      <c r="F318">
        <f t="shared" si="14"/>
        <v>1.1169918592131864</v>
      </c>
    </row>
    <row r="319" spans="1:6" ht="17" x14ac:dyDescent="0.25">
      <c r="A319" s="2">
        <v>35642</v>
      </c>
      <c r="B319" s="3">
        <v>1593.81</v>
      </c>
      <c r="C319">
        <f t="shared" si="12"/>
        <v>1997</v>
      </c>
      <c r="D319">
        <f t="shared" si="13"/>
        <v>7</v>
      </c>
      <c r="E319" s="7" cm="1">
        <f t="array" ref="E319">LOOKUP(12, D:D/(C:C = C319 - 1), B:B)</f>
        <v>1291.03</v>
      </c>
      <c r="F319">
        <f t="shared" si="14"/>
        <v>1.2345259211637221</v>
      </c>
    </row>
    <row r="320" spans="1:6" ht="17" x14ac:dyDescent="0.25">
      <c r="A320" s="2">
        <v>35671</v>
      </c>
      <c r="B320" s="3">
        <v>1587.32</v>
      </c>
      <c r="C320">
        <f t="shared" si="12"/>
        <v>1997</v>
      </c>
      <c r="D320">
        <f t="shared" si="13"/>
        <v>8</v>
      </c>
      <c r="E320" s="7" cm="1">
        <f t="array" ref="E320">LOOKUP(12, D:D/(C:C = C320 - 1), B:B)</f>
        <v>1291.03</v>
      </c>
      <c r="F320">
        <f t="shared" si="14"/>
        <v>1.2294989272131553</v>
      </c>
    </row>
    <row r="321" spans="1:6" ht="17" x14ac:dyDescent="0.25">
      <c r="A321" s="2">
        <v>35703</v>
      </c>
      <c r="B321" s="3">
        <v>1685.69</v>
      </c>
      <c r="C321">
        <f t="shared" si="12"/>
        <v>1997</v>
      </c>
      <c r="D321">
        <f t="shared" si="13"/>
        <v>9</v>
      </c>
      <c r="E321" s="7" cm="1">
        <f t="array" ref="E321">LOOKUP(12, D:D/(C:C = C321 - 1), B:B)</f>
        <v>1291.03</v>
      </c>
      <c r="F321">
        <f t="shared" si="14"/>
        <v>1.3056939033175063</v>
      </c>
    </row>
    <row r="322" spans="1:6" ht="17" x14ac:dyDescent="0.25">
      <c r="A322" s="2">
        <v>35734</v>
      </c>
      <c r="B322" s="3">
        <v>1593.61</v>
      </c>
      <c r="C322">
        <f t="shared" ref="C322:C385" si="15">YEAR(A322)</f>
        <v>1997</v>
      </c>
      <c r="D322">
        <f t="shared" ref="D322:D385" si="16">MONTH(A322)</f>
        <v>10</v>
      </c>
      <c r="E322" s="7" cm="1">
        <f t="array" ref="E322">LOOKUP(12, D:D/(C:C = C322 - 1), B:B)</f>
        <v>1291.03</v>
      </c>
      <c r="F322">
        <f t="shared" si="14"/>
        <v>1.2343710060959079</v>
      </c>
    </row>
    <row r="323" spans="1:6" ht="17" x14ac:dyDescent="0.25">
      <c r="A323" s="2">
        <v>35762</v>
      </c>
      <c r="B323" s="3">
        <v>1600.55</v>
      </c>
      <c r="C323">
        <f t="shared" si="15"/>
        <v>1997</v>
      </c>
      <c r="D323">
        <f t="shared" si="16"/>
        <v>11</v>
      </c>
      <c r="E323" s="7" cm="1">
        <f t="array" ref="E323">LOOKUP(12, D:D/(C:C = C323 - 1), B:B)</f>
        <v>1291.03</v>
      </c>
      <c r="F323">
        <f t="shared" ref="F323:F386" si="17">B323/E323</f>
        <v>1.2397465589490562</v>
      </c>
    </row>
    <row r="324" spans="1:6" ht="17" x14ac:dyDescent="0.25">
      <c r="A324" s="2">
        <v>35795</v>
      </c>
      <c r="B324" s="3">
        <v>1570.35</v>
      </c>
      <c r="C324">
        <f t="shared" si="15"/>
        <v>1997</v>
      </c>
      <c r="D324">
        <f t="shared" si="16"/>
        <v>12</v>
      </c>
      <c r="E324" s="7" cm="1">
        <f t="array" ref="E324">LOOKUP(12, D:D/(C:C = C324 - 1), B:B)</f>
        <v>1291.03</v>
      </c>
      <c r="F324">
        <f t="shared" si="17"/>
        <v>1.2163543837091315</v>
      </c>
    </row>
    <row r="325" spans="1:6" ht="17" x14ac:dyDescent="0.25">
      <c r="A325" s="2">
        <v>35825</v>
      </c>
      <c r="B325" s="3">
        <v>1619.36</v>
      </c>
      <c r="C325">
        <f t="shared" si="15"/>
        <v>1998</v>
      </c>
      <c r="D325">
        <f t="shared" si="16"/>
        <v>1</v>
      </c>
      <c r="E325" s="7" cm="1">
        <f t="array" ref="E325">LOOKUP(12, D:D/(C:C = C325 - 1), B:B)</f>
        <v>1570.35</v>
      </c>
      <c r="F325">
        <f t="shared" si="17"/>
        <v>1.0312096029547553</v>
      </c>
    </row>
    <row r="326" spans="1:6" ht="17" x14ac:dyDescent="0.25">
      <c r="A326" s="2">
        <v>35853</v>
      </c>
      <c r="B326" s="3">
        <v>1770.51</v>
      </c>
      <c r="C326">
        <f t="shared" si="15"/>
        <v>1998</v>
      </c>
      <c r="D326">
        <f t="shared" si="16"/>
        <v>2</v>
      </c>
      <c r="E326" s="7" cm="1">
        <f t="array" ref="E326">LOOKUP(12, D:D/(C:C = C326 - 1), B:B)</f>
        <v>1570.35</v>
      </c>
      <c r="F326">
        <f t="shared" si="17"/>
        <v>1.1274620307574745</v>
      </c>
    </row>
    <row r="327" spans="1:6" ht="17" x14ac:dyDescent="0.25">
      <c r="A327" s="2">
        <v>35885</v>
      </c>
      <c r="B327" s="3">
        <v>1835.68</v>
      </c>
      <c r="C327">
        <f t="shared" si="15"/>
        <v>1998</v>
      </c>
      <c r="D327">
        <f t="shared" si="16"/>
        <v>3</v>
      </c>
      <c r="E327" s="7" cm="1">
        <f t="array" ref="E327">LOOKUP(12, D:D/(C:C = C327 - 1), B:B)</f>
        <v>1570.35</v>
      </c>
      <c r="F327">
        <f t="shared" si="17"/>
        <v>1.1689623332378134</v>
      </c>
    </row>
    <row r="328" spans="1:6" ht="17" x14ac:dyDescent="0.25">
      <c r="A328" s="2">
        <v>35915</v>
      </c>
      <c r="B328" s="3">
        <v>1868.41</v>
      </c>
      <c r="C328">
        <f t="shared" si="15"/>
        <v>1998</v>
      </c>
      <c r="D328">
        <f t="shared" si="16"/>
        <v>4</v>
      </c>
      <c r="E328" s="7" cm="1">
        <f t="array" ref="E328">LOOKUP(12, D:D/(C:C = C328 - 1), B:B)</f>
        <v>1570.35</v>
      </c>
      <c r="F328">
        <f t="shared" si="17"/>
        <v>1.1898048205813991</v>
      </c>
    </row>
    <row r="329" spans="1:6" ht="17" x14ac:dyDescent="0.25">
      <c r="A329" s="2">
        <v>35944</v>
      </c>
      <c r="B329" s="3">
        <v>1778.87</v>
      </c>
      <c r="C329">
        <f t="shared" si="15"/>
        <v>1998</v>
      </c>
      <c r="D329">
        <f t="shared" si="16"/>
        <v>5</v>
      </c>
      <c r="E329" s="7" cm="1">
        <f t="array" ref="E329">LOOKUP(12, D:D/(C:C = C329 - 1), B:B)</f>
        <v>1570.35</v>
      </c>
      <c r="F329">
        <f t="shared" si="17"/>
        <v>1.1327856847199669</v>
      </c>
    </row>
    <row r="330" spans="1:6" ht="17" x14ac:dyDescent="0.25">
      <c r="A330" s="2">
        <v>35976</v>
      </c>
      <c r="B330" s="3">
        <v>1894.74</v>
      </c>
      <c r="C330">
        <f t="shared" si="15"/>
        <v>1998</v>
      </c>
      <c r="D330">
        <f t="shared" si="16"/>
        <v>6</v>
      </c>
      <c r="E330" s="7" cm="1">
        <f t="array" ref="E330">LOOKUP(12, D:D/(C:C = C330 - 1), B:B)</f>
        <v>1570.35</v>
      </c>
      <c r="F330">
        <f t="shared" si="17"/>
        <v>1.2065717833603975</v>
      </c>
    </row>
    <row r="331" spans="1:6" ht="17" x14ac:dyDescent="0.25">
      <c r="A331" s="2">
        <v>36007</v>
      </c>
      <c r="B331" s="3">
        <v>1872.39</v>
      </c>
      <c r="C331">
        <f t="shared" si="15"/>
        <v>1998</v>
      </c>
      <c r="D331">
        <f t="shared" si="16"/>
        <v>7</v>
      </c>
      <c r="E331" s="7" cm="1">
        <f t="array" ref="E331">LOOKUP(12, D:D/(C:C = C331 - 1), B:B)</f>
        <v>1570.35</v>
      </c>
      <c r="F331">
        <f t="shared" si="17"/>
        <v>1.1923392874200021</v>
      </c>
    </row>
    <row r="332" spans="1:6" ht="17" x14ac:dyDescent="0.25">
      <c r="A332" s="2">
        <v>36038</v>
      </c>
      <c r="B332" s="3">
        <v>1499.25</v>
      </c>
      <c r="C332">
        <f t="shared" si="15"/>
        <v>1998</v>
      </c>
      <c r="D332">
        <f t="shared" si="16"/>
        <v>8</v>
      </c>
      <c r="E332" s="7" cm="1">
        <f t="array" ref="E332">LOOKUP(12, D:D/(C:C = C332 - 1), B:B)</f>
        <v>1570.35</v>
      </c>
      <c r="F332">
        <f t="shared" si="17"/>
        <v>0.95472346929028562</v>
      </c>
    </row>
    <row r="333" spans="1:6" ht="17" x14ac:dyDescent="0.25">
      <c r="A333" s="2">
        <v>36068</v>
      </c>
      <c r="B333" s="3">
        <v>1693.84</v>
      </c>
      <c r="C333">
        <f t="shared" si="15"/>
        <v>1998</v>
      </c>
      <c r="D333">
        <f t="shared" si="16"/>
        <v>9</v>
      </c>
      <c r="E333" s="7" cm="1">
        <f t="array" ref="E333">LOOKUP(12, D:D/(C:C = C333 - 1), B:B)</f>
        <v>1570.35</v>
      </c>
      <c r="F333">
        <f t="shared" si="17"/>
        <v>1.0786385200751425</v>
      </c>
    </row>
    <row r="334" spans="1:6" ht="17" x14ac:dyDescent="0.25">
      <c r="A334" s="2">
        <v>36098</v>
      </c>
      <c r="B334" s="3">
        <v>1771.39</v>
      </c>
      <c r="C334">
        <f t="shared" si="15"/>
        <v>1998</v>
      </c>
      <c r="D334">
        <f t="shared" si="16"/>
        <v>10</v>
      </c>
      <c r="E334" s="7" cm="1">
        <f t="array" ref="E334">LOOKUP(12, D:D/(C:C = C334 - 1), B:B)</f>
        <v>1570.35</v>
      </c>
      <c r="F334">
        <f t="shared" si="17"/>
        <v>1.1280224153851053</v>
      </c>
    </row>
    <row r="335" spans="1:6" ht="17" x14ac:dyDescent="0.25">
      <c r="A335" s="2">
        <v>36129</v>
      </c>
      <c r="B335" s="3">
        <v>1949.54</v>
      </c>
      <c r="C335">
        <f t="shared" si="15"/>
        <v>1998</v>
      </c>
      <c r="D335">
        <f t="shared" si="16"/>
        <v>11</v>
      </c>
      <c r="E335" s="7" cm="1">
        <f t="array" ref="E335">LOOKUP(12, D:D/(C:C = C335 - 1), B:B)</f>
        <v>1570.35</v>
      </c>
      <c r="F335">
        <f t="shared" si="17"/>
        <v>1.2414684624446779</v>
      </c>
    </row>
    <row r="336" spans="1:6" ht="17" x14ac:dyDescent="0.25">
      <c r="A336" s="2">
        <v>36160</v>
      </c>
      <c r="B336" s="3">
        <v>2192.69</v>
      </c>
      <c r="C336">
        <f t="shared" si="15"/>
        <v>1998</v>
      </c>
      <c r="D336">
        <f t="shared" si="16"/>
        <v>12</v>
      </c>
      <c r="E336" s="7" cm="1">
        <f t="array" ref="E336">LOOKUP(12, D:D/(C:C = C336 - 1), B:B)</f>
        <v>1570.35</v>
      </c>
      <c r="F336">
        <f t="shared" si="17"/>
        <v>1.3963065558633427</v>
      </c>
    </row>
    <row r="337" spans="1:6" ht="17" x14ac:dyDescent="0.25">
      <c r="A337" s="2">
        <v>36189</v>
      </c>
      <c r="B337" s="3">
        <v>2505.89</v>
      </c>
      <c r="C337">
        <f t="shared" si="15"/>
        <v>1999</v>
      </c>
      <c r="D337">
        <f t="shared" si="16"/>
        <v>1</v>
      </c>
      <c r="E337" s="7" cm="1">
        <f t="array" ref="E337">LOOKUP(12, D:D/(C:C = C337 - 1), B:B)</f>
        <v>2192.69</v>
      </c>
      <c r="F337">
        <f t="shared" si="17"/>
        <v>1.1428382489088744</v>
      </c>
    </row>
    <row r="338" spans="1:6" ht="17" x14ac:dyDescent="0.25">
      <c r="A338" s="2">
        <v>36217</v>
      </c>
      <c r="B338" s="3">
        <v>2288.0300000000002</v>
      </c>
      <c r="C338">
        <f t="shared" si="15"/>
        <v>1999</v>
      </c>
      <c r="D338">
        <f t="shared" si="16"/>
        <v>2</v>
      </c>
      <c r="E338" s="7" cm="1">
        <f t="array" ref="E338">LOOKUP(12, D:D/(C:C = C338 - 1), B:B)</f>
        <v>2192.69</v>
      </c>
      <c r="F338">
        <f t="shared" si="17"/>
        <v>1.0434808386046364</v>
      </c>
    </row>
    <row r="339" spans="1:6" ht="17" x14ac:dyDescent="0.25">
      <c r="A339" s="2">
        <v>36250</v>
      </c>
      <c r="B339" s="3">
        <v>2461.4</v>
      </c>
      <c r="C339">
        <f t="shared" si="15"/>
        <v>1999</v>
      </c>
      <c r="D339">
        <f t="shared" si="16"/>
        <v>3</v>
      </c>
      <c r="E339" s="7" cm="1">
        <f t="array" ref="E339">LOOKUP(12, D:D/(C:C = C339 - 1), B:B)</f>
        <v>2192.69</v>
      </c>
      <c r="F339">
        <f t="shared" si="17"/>
        <v>1.1225481030150182</v>
      </c>
    </row>
    <row r="340" spans="1:6" ht="17" x14ac:dyDescent="0.25">
      <c r="A340" s="2">
        <v>36280</v>
      </c>
      <c r="B340" s="3">
        <v>2542.86</v>
      </c>
      <c r="C340">
        <f t="shared" si="15"/>
        <v>1999</v>
      </c>
      <c r="D340">
        <f t="shared" si="16"/>
        <v>4</v>
      </c>
      <c r="E340" s="7" cm="1">
        <f t="array" ref="E340">LOOKUP(12, D:D/(C:C = C340 - 1), B:B)</f>
        <v>2192.69</v>
      </c>
      <c r="F340">
        <f t="shared" si="17"/>
        <v>1.159698817434293</v>
      </c>
    </row>
    <row r="341" spans="1:6" ht="17" x14ac:dyDescent="0.25">
      <c r="A341" s="2">
        <v>36308</v>
      </c>
      <c r="B341" s="3">
        <v>2470.52</v>
      </c>
      <c r="C341">
        <f t="shared" si="15"/>
        <v>1999</v>
      </c>
      <c r="D341">
        <f t="shared" si="16"/>
        <v>5</v>
      </c>
      <c r="E341" s="7" cm="1">
        <f t="array" ref="E341">LOOKUP(12, D:D/(C:C = C341 - 1), B:B)</f>
        <v>2192.69</v>
      </c>
      <c r="F341">
        <f t="shared" si="17"/>
        <v>1.1267073776958896</v>
      </c>
    </row>
    <row r="342" spans="1:6" ht="17" x14ac:dyDescent="0.25">
      <c r="A342" s="2">
        <v>36341</v>
      </c>
      <c r="B342" s="3">
        <v>2686.12</v>
      </c>
      <c r="C342">
        <f t="shared" si="15"/>
        <v>1999</v>
      </c>
      <c r="D342">
        <f t="shared" si="16"/>
        <v>6</v>
      </c>
      <c r="E342" s="7" cm="1">
        <f t="array" ref="E342">LOOKUP(12, D:D/(C:C = C342 - 1), B:B)</f>
        <v>2192.69</v>
      </c>
      <c r="F342">
        <f t="shared" si="17"/>
        <v>1.2250340905463151</v>
      </c>
    </row>
    <row r="343" spans="1:6" ht="17" x14ac:dyDescent="0.25">
      <c r="A343" s="2">
        <v>36371</v>
      </c>
      <c r="B343" s="3">
        <v>2638.49</v>
      </c>
      <c r="C343">
        <f t="shared" si="15"/>
        <v>1999</v>
      </c>
      <c r="D343">
        <f t="shared" si="16"/>
        <v>7</v>
      </c>
      <c r="E343" s="7" cm="1">
        <f t="array" ref="E343">LOOKUP(12, D:D/(C:C = C343 - 1), B:B)</f>
        <v>2192.69</v>
      </c>
      <c r="F343">
        <f t="shared" si="17"/>
        <v>1.2033119136768078</v>
      </c>
    </row>
    <row r="344" spans="1:6" ht="17" x14ac:dyDescent="0.25">
      <c r="A344" s="2">
        <v>36403</v>
      </c>
      <c r="B344" s="3">
        <v>2739.35</v>
      </c>
      <c r="C344">
        <f t="shared" si="15"/>
        <v>1999</v>
      </c>
      <c r="D344">
        <f t="shared" si="16"/>
        <v>8</v>
      </c>
      <c r="E344" s="7" cm="1">
        <f t="array" ref="E344">LOOKUP(12, D:D/(C:C = C344 - 1), B:B)</f>
        <v>2192.69</v>
      </c>
      <c r="F344">
        <f t="shared" si="17"/>
        <v>1.2493102080093401</v>
      </c>
    </row>
    <row r="345" spans="1:6" ht="17" x14ac:dyDescent="0.25">
      <c r="A345" s="2">
        <v>36433</v>
      </c>
      <c r="B345" s="3">
        <v>2746.16</v>
      </c>
      <c r="C345">
        <f t="shared" si="15"/>
        <v>1999</v>
      </c>
      <c r="D345">
        <f t="shared" si="16"/>
        <v>9</v>
      </c>
      <c r="E345" s="7" cm="1">
        <f t="array" ref="E345">LOOKUP(12, D:D/(C:C = C345 - 1), B:B)</f>
        <v>2192.69</v>
      </c>
      <c r="F345">
        <f t="shared" si="17"/>
        <v>1.2524159821953855</v>
      </c>
    </row>
    <row r="346" spans="1:6" ht="17" x14ac:dyDescent="0.25">
      <c r="A346" s="2">
        <v>36462</v>
      </c>
      <c r="B346" s="3">
        <v>2966.43</v>
      </c>
      <c r="C346">
        <f t="shared" si="15"/>
        <v>1999</v>
      </c>
      <c r="D346">
        <f t="shared" si="16"/>
        <v>10</v>
      </c>
      <c r="E346" s="7" cm="1">
        <f t="array" ref="E346">LOOKUP(12, D:D/(C:C = C346 - 1), B:B)</f>
        <v>2192.69</v>
      </c>
      <c r="F346">
        <f t="shared" si="17"/>
        <v>1.3528724990764767</v>
      </c>
    </row>
    <row r="347" spans="1:6" ht="17" x14ac:dyDescent="0.25">
      <c r="A347" s="2">
        <v>36494</v>
      </c>
      <c r="B347" s="3">
        <v>3336.16</v>
      </c>
      <c r="C347">
        <f t="shared" si="15"/>
        <v>1999</v>
      </c>
      <c r="D347">
        <f t="shared" si="16"/>
        <v>11</v>
      </c>
      <c r="E347" s="7" cm="1">
        <f t="array" ref="E347">LOOKUP(12, D:D/(C:C = C347 - 1), B:B)</f>
        <v>2192.69</v>
      </c>
      <c r="F347">
        <f t="shared" si="17"/>
        <v>1.5214918661552703</v>
      </c>
    </row>
    <row r="348" spans="1:6" ht="17" x14ac:dyDescent="0.25">
      <c r="A348" s="2">
        <v>36525</v>
      </c>
      <c r="B348" s="3">
        <v>4069.31</v>
      </c>
      <c r="C348">
        <f t="shared" si="15"/>
        <v>1999</v>
      </c>
      <c r="D348">
        <f t="shared" si="16"/>
        <v>12</v>
      </c>
      <c r="E348" s="7" cm="1">
        <f t="array" ref="E348">LOOKUP(12, D:D/(C:C = C348 - 1), B:B)</f>
        <v>2192.69</v>
      </c>
      <c r="F348">
        <f t="shared" si="17"/>
        <v>1.8558528565369476</v>
      </c>
    </row>
    <row r="349" spans="1:6" ht="17" x14ac:dyDescent="0.25">
      <c r="A349" s="2">
        <v>36556</v>
      </c>
      <c r="B349" s="3">
        <v>3940.35</v>
      </c>
      <c r="C349">
        <f t="shared" si="15"/>
        <v>2000</v>
      </c>
      <c r="D349">
        <f t="shared" si="16"/>
        <v>1</v>
      </c>
      <c r="E349" s="7" cm="1">
        <f t="array" ref="E349">LOOKUP(12, D:D/(C:C = C349 - 1), B:B)</f>
        <v>4069.31</v>
      </c>
      <c r="F349">
        <f t="shared" si="17"/>
        <v>0.96830912365978505</v>
      </c>
    </row>
    <row r="350" spans="1:6" ht="17" x14ac:dyDescent="0.25">
      <c r="A350" s="2">
        <v>36585</v>
      </c>
      <c r="B350" s="3">
        <v>4696.6899999999996</v>
      </c>
      <c r="C350">
        <f t="shared" si="15"/>
        <v>2000</v>
      </c>
      <c r="D350">
        <f t="shared" si="16"/>
        <v>2</v>
      </c>
      <c r="E350" s="7" cm="1">
        <f t="array" ref="E350">LOOKUP(12, D:D/(C:C = C350 - 1), B:B)</f>
        <v>4069.31</v>
      </c>
      <c r="F350">
        <f t="shared" si="17"/>
        <v>1.1541735576793117</v>
      </c>
    </row>
    <row r="351" spans="1:6" ht="17" x14ac:dyDescent="0.25">
      <c r="A351" s="2">
        <v>36616</v>
      </c>
      <c r="B351" s="3">
        <v>4572.83</v>
      </c>
      <c r="C351">
        <f t="shared" si="15"/>
        <v>2000</v>
      </c>
      <c r="D351">
        <f t="shared" si="16"/>
        <v>3</v>
      </c>
      <c r="E351" s="7" cm="1">
        <f t="array" ref="E351">LOOKUP(12, D:D/(C:C = C351 - 1), B:B)</f>
        <v>4069.31</v>
      </c>
      <c r="F351">
        <f t="shared" si="17"/>
        <v>1.1237359650653305</v>
      </c>
    </row>
    <row r="352" spans="1:6" ht="17" x14ac:dyDescent="0.25">
      <c r="A352" s="2">
        <v>36644</v>
      </c>
      <c r="B352" s="3">
        <v>3860.66</v>
      </c>
      <c r="C352">
        <f t="shared" si="15"/>
        <v>2000</v>
      </c>
      <c r="D352">
        <f t="shared" si="16"/>
        <v>4</v>
      </c>
      <c r="E352" s="7" cm="1">
        <f t="array" ref="E352">LOOKUP(12, D:D/(C:C = C352 - 1), B:B)</f>
        <v>4069.31</v>
      </c>
      <c r="F352">
        <f t="shared" si="17"/>
        <v>0.94872595108261593</v>
      </c>
    </row>
    <row r="353" spans="1:6" ht="17" x14ac:dyDescent="0.25">
      <c r="A353" s="2">
        <v>36677</v>
      </c>
      <c r="B353" s="3">
        <v>3400.91</v>
      </c>
      <c r="C353">
        <f t="shared" si="15"/>
        <v>2000</v>
      </c>
      <c r="D353">
        <f t="shared" si="16"/>
        <v>5</v>
      </c>
      <c r="E353" s="7" cm="1">
        <f t="array" ref="E353">LOOKUP(12, D:D/(C:C = C353 - 1), B:B)</f>
        <v>4069.31</v>
      </c>
      <c r="F353">
        <f t="shared" si="17"/>
        <v>0.8357461092912557</v>
      </c>
    </row>
    <row r="354" spans="1:6" ht="17" x14ac:dyDescent="0.25">
      <c r="A354" s="2">
        <v>36707</v>
      </c>
      <c r="B354" s="3">
        <v>3966.11</v>
      </c>
      <c r="C354">
        <f t="shared" si="15"/>
        <v>2000</v>
      </c>
      <c r="D354">
        <f t="shared" si="16"/>
        <v>6</v>
      </c>
      <c r="E354" s="7" cm="1">
        <f t="array" ref="E354">LOOKUP(12, D:D/(C:C = C354 - 1), B:B)</f>
        <v>4069.31</v>
      </c>
      <c r="F354">
        <f t="shared" si="17"/>
        <v>0.97463943518680074</v>
      </c>
    </row>
    <row r="355" spans="1:6" ht="17" x14ac:dyDescent="0.25">
      <c r="A355" s="2">
        <v>36738</v>
      </c>
      <c r="B355" s="3">
        <v>3766.99</v>
      </c>
      <c r="C355">
        <f t="shared" si="15"/>
        <v>2000</v>
      </c>
      <c r="D355">
        <f t="shared" si="16"/>
        <v>7</v>
      </c>
      <c r="E355" s="7" cm="1">
        <f t="array" ref="E355">LOOKUP(12, D:D/(C:C = C355 - 1), B:B)</f>
        <v>4069.31</v>
      </c>
      <c r="F355">
        <f t="shared" si="17"/>
        <v>0.92570730664412393</v>
      </c>
    </row>
    <row r="356" spans="1:6" ht="17" x14ac:dyDescent="0.25">
      <c r="A356" s="2">
        <v>36769</v>
      </c>
      <c r="B356" s="3">
        <v>4206.3500000000004</v>
      </c>
      <c r="C356">
        <f t="shared" si="15"/>
        <v>2000</v>
      </c>
      <c r="D356">
        <f t="shared" si="16"/>
        <v>8</v>
      </c>
      <c r="E356" s="7" cm="1">
        <f t="array" ref="E356">LOOKUP(12, D:D/(C:C = C356 - 1), B:B)</f>
        <v>4069.31</v>
      </c>
      <c r="F356">
        <f t="shared" si="17"/>
        <v>1.0336764709496205</v>
      </c>
    </row>
    <row r="357" spans="1:6" ht="17" x14ac:dyDescent="0.25">
      <c r="A357" s="2">
        <v>36798</v>
      </c>
      <c r="B357" s="3">
        <v>3672.82</v>
      </c>
      <c r="C357">
        <f t="shared" si="15"/>
        <v>2000</v>
      </c>
      <c r="D357">
        <f t="shared" si="16"/>
        <v>9</v>
      </c>
      <c r="E357" s="7" cm="1">
        <f t="array" ref="E357">LOOKUP(12, D:D/(C:C = C357 - 1), B:B)</f>
        <v>4069.31</v>
      </c>
      <c r="F357">
        <f t="shared" si="17"/>
        <v>0.9025657912520797</v>
      </c>
    </row>
    <row r="358" spans="1:6" ht="17" x14ac:dyDescent="0.25">
      <c r="A358" s="2">
        <v>36830</v>
      </c>
      <c r="B358" s="3">
        <v>3369.63</v>
      </c>
      <c r="C358">
        <f t="shared" si="15"/>
        <v>2000</v>
      </c>
      <c r="D358">
        <f t="shared" si="16"/>
        <v>10</v>
      </c>
      <c r="E358" s="7" cm="1">
        <f t="array" ref="E358">LOOKUP(12, D:D/(C:C = C358 - 1), B:B)</f>
        <v>4069.31</v>
      </c>
      <c r="F358">
        <f t="shared" si="17"/>
        <v>0.82805930243702253</v>
      </c>
    </row>
    <row r="359" spans="1:6" ht="17" x14ac:dyDescent="0.25">
      <c r="A359" s="2">
        <v>36860</v>
      </c>
      <c r="B359" s="3">
        <v>2597.9299999999998</v>
      </c>
      <c r="C359">
        <f t="shared" si="15"/>
        <v>2000</v>
      </c>
      <c r="D359">
        <f t="shared" si="16"/>
        <v>11</v>
      </c>
      <c r="E359" s="7" cm="1">
        <f t="array" ref="E359">LOOKUP(12, D:D/(C:C = C359 - 1), B:B)</f>
        <v>4069.31</v>
      </c>
      <c r="F359">
        <f t="shared" si="17"/>
        <v>0.63842027272436852</v>
      </c>
    </row>
    <row r="360" spans="1:6" ht="17" x14ac:dyDescent="0.25">
      <c r="A360" s="2">
        <v>36889</v>
      </c>
      <c r="B360" s="3">
        <v>2470.52</v>
      </c>
      <c r="C360">
        <f t="shared" si="15"/>
        <v>2000</v>
      </c>
      <c r="D360">
        <f t="shared" si="16"/>
        <v>12</v>
      </c>
      <c r="E360" s="7" cm="1">
        <f t="array" ref="E360">LOOKUP(12, D:D/(C:C = C360 - 1), B:B)</f>
        <v>4069.31</v>
      </c>
      <c r="F360">
        <f t="shared" si="17"/>
        <v>0.60711029634016578</v>
      </c>
    </row>
    <row r="361" spans="1:6" ht="17" x14ac:dyDescent="0.25">
      <c r="A361" s="2">
        <v>36922</v>
      </c>
      <c r="B361" s="3">
        <v>2772.73</v>
      </c>
      <c r="C361">
        <f t="shared" si="15"/>
        <v>2001</v>
      </c>
      <c r="D361">
        <f t="shared" si="16"/>
        <v>1</v>
      </c>
      <c r="E361" s="7" cm="1">
        <f t="array" ref="E361">LOOKUP(12, D:D/(C:C = C361 - 1), B:B)</f>
        <v>2470.52</v>
      </c>
      <c r="F361">
        <f t="shared" si="17"/>
        <v>1.1223264737787997</v>
      </c>
    </row>
    <row r="362" spans="1:6" ht="17" x14ac:dyDescent="0.25">
      <c r="A362" s="2">
        <v>36950</v>
      </c>
      <c r="B362" s="3">
        <v>2151.83</v>
      </c>
      <c r="C362">
        <f t="shared" si="15"/>
        <v>2001</v>
      </c>
      <c r="D362">
        <f t="shared" si="16"/>
        <v>2</v>
      </c>
      <c r="E362" s="7" cm="1">
        <f t="array" ref="E362">LOOKUP(12, D:D/(C:C = C362 - 1), B:B)</f>
        <v>2470.52</v>
      </c>
      <c r="F362">
        <f t="shared" si="17"/>
        <v>0.87100286579343622</v>
      </c>
    </row>
    <row r="363" spans="1:6" ht="17" x14ac:dyDescent="0.25">
      <c r="A363" s="2">
        <v>36980</v>
      </c>
      <c r="B363" s="3">
        <v>1840.26</v>
      </c>
      <c r="C363">
        <f t="shared" si="15"/>
        <v>2001</v>
      </c>
      <c r="D363">
        <f t="shared" si="16"/>
        <v>3</v>
      </c>
      <c r="E363" s="7" cm="1">
        <f t="array" ref="E363">LOOKUP(12, D:D/(C:C = C363 - 1), B:B)</f>
        <v>2470.52</v>
      </c>
      <c r="F363">
        <f t="shared" si="17"/>
        <v>0.74488771594644043</v>
      </c>
    </row>
    <row r="364" spans="1:6" ht="17" x14ac:dyDescent="0.25">
      <c r="A364" s="2">
        <v>37011</v>
      </c>
      <c r="B364" s="3">
        <v>2116.2399999999998</v>
      </c>
      <c r="C364">
        <f t="shared" si="15"/>
        <v>2001</v>
      </c>
      <c r="D364">
        <f t="shared" si="16"/>
        <v>4</v>
      </c>
      <c r="E364" s="7" cm="1">
        <f t="array" ref="E364">LOOKUP(12, D:D/(C:C = C364 - 1), B:B)</f>
        <v>2470.52</v>
      </c>
      <c r="F364">
        <f t="shared" si="17"/>
        <v>0.85659699172643811</v>
      </c>
    </row>
    <row r="365" spans="1:6" ht="17" x14ac:dyDescent="0.25">
      <c r="A365" s="2">
        <v>37042</v>
      </c>
      <c r="B365" s="3">
        <v>2110.4899999999998</v>
      </c>
      <c r="C365">
        <f t="shared" si="15"/>
        <v>2001</v>
      </c>
      <c r="D365">
        <f t="shared" si="16"/>
        <v>5</v>
      </c>
      <c r="E365" s="7" cm="1">
        <f t="array" ref="E365">LOOKUP(12, D:D/(C:C = C365 - 1), B:B)</f>
        <v>2470.52</v>
      </c>
      <c r="F365">
        <f t="shared" si="17"/>
        <v>0.85426954649223641</v>
      </c>
    </row>
    <row r="366" spans="1:6" ht="17" x14ac:dyDescent="0.25">
      <c r="A366" s="2">
        <v>37071</v>
      </c>
      <c r="B366" s="3">
        <v>2160.54</v>
      </c>
      <c r="C366">
        <f t="shared" si="15"/>
        <v>2001</v>
      </c>
      <c r="D366">
        <f t="shared" si="16"/>
        <v>6</v>
      </c>
      <c r="E366" s="7" cm="1">
        <f t="array" ref="E366">LOOKUP(12, D:D/(C:C = C366 - 1), B:B)</f>
        <v>2470.52</v>
      </c>
      <c r="F366">
        <f t="shared" si="17"/>
        <v>0.8745284393568965</v>
      </c>
    </row>
    <row r="367" spans="1:6" ht="17" x14ac:dyDescent="0.25">
      <c r="A367" s="2">
        <v>37103</v>
      </c>
      <c r="B367" s="3">
        <v>2027.13</v>
      </c>
      <c r="C367">
        <f t="shared" si="15"/>
        <v>2001</v>
      </c>
      <c r="D367">
        <f t="shared" si="16"/>
        <v>7</v>
      </c>
      <c r="E367" s="7" cm="1">
        <f t="array" ref="E367">LOOKUP(12, D:D/(C:C = C367 - 1), B:B)</f>
        <v>2470.52</v>
      </c>
      <c r="F367">
        <f t="shared" si="17"/>
        <v>0.82052766219257489</v>
      </c>
    </row>
    <row r="368" spans="1:6" ht="17" x14ac:dyDescent="0.25">
      <c r="A368" s="2">
        <v>37134</v>
      </c>
      <c r="B368" s="3">
        <v>1805.43</v>
      </c>
      <c r="C368">
        <f t="shared" si="15"/>
        <v>2001</v>
      </c>
      <c r="D368">
        <f t="shared" si="16"/>
        <v>8</v>
      </c>
      <c r="E368" s="7" cm="1">
        <f t="array" ref="E368">LOOKUP(12, D:D/(C:C = C368 - 1), B:B)</f>
        <v>2470.52</v>
      </c>
      <c r="F368">
        <f t="shared" si="17"/>
        <v>0.73078946942344125</v>
      </c>
    </row>
    <row r="369" spans="1:6" ht="17" x14ac:dyDescent="0.25">
      <c r="A369" s="2">
        <v>37162</v>
      </c>
      <c r="B369" s="3">
        <v>1498.8</v>
      </c>
      <c r="C369">
        <f t="shared" si="15"/>
        <v>2001</v>
      </c>
      <c r="D369">
        <f t="shared" si="16"/>
        <v>9</v>
      </c>
      <c r="E369" s="7" cm="1">
        <f t="array" ref="E369">LOOKUP(12, D:D/(C:C = C369 - 1), B:B)</f>
        <v>2470.52</v>
      </c>
      <c r="F369">
        <f t="shared" si="17"/>
        <v>0.60667389861243781</v>
      </c>
    </row>
    <row r="370" spans="1:6" ht="17" x14ac:dyDescent="0.25">
      <c r="A370" s="2">
        <v>37195</v>
      </c>
      <c r="B370" s="3">
        <v>1690.2</v>
      </c>
      <c r="C370">
        <f t="shared" si="15"/>
        <v>2001</v>
      </c>
      <c r="D370">
        <f t="shared" si="16"/>
        <v>10</v>
      </c>
      <c r="E370" s="7" cm="1">
        <f t="array" ref="E370">LOOKUP(12, D:D/(C:C = C370 - 1), B:B)</f>
        <v>2470.52</v>
      </c>
      <c r="F370">
        <f t="shared" si="17"/>
        <v>0.68414746693003903</v>
      </c>
    </row>
    <row r="371" spans="1:6" ht="17" x14ac:dyDescent="0.25">
      <c r="A371" s="2">
        <v>37225</v>
      </c>
      <c r="B371" s="3">
        <v>1930.58</v>
      </c>
      <c r="C371">
        <f t="shared" si="15"/>
        <v>2001</v>
      </c>
      <c r="D371">
        <f t="shared" si="16"/>
        <v>11</v>
      </c>
      <c r="E371" s="7" cm="1">
        <f t="array" ref="E371">LOOKUP(12, D:D/(C:C = C371 - 1), B:B)</f>
        <v>2470.52</v>
      </c>
      <c r="F371">
        <f t="shared" si="17"/>
        <v>0.78144682091219664</v>
      </c>
    </row>
    <row r="372" spans="1:6" ht="17" x14ac:dyDescent="0.25">
      <c r="A372" s="2">
        <v>37256</v>
      </c>
      <c r="B372" s="3">
        <v>1950.4</v>
      </c>
      <c r="C372">
        <f t="shared" si="15"/>
        <v>2001</v>
      </c>
      <c r="D372">
        <f t="shared" si="16"/>
        <v>12</v>
      </c>
      <c r="E372" s="7" cm="1">
        <f t="array" ref="E372">LOOKUP(12, D:D/(C:C = C372 - 1), B:B)</f>
        <v>2470.52</v>
      </c>
      <c r="F372">
        <f t="shared" si="17"/>
        <v>0.78946942344121884</v>
      </c>
    </row>
    <row r="373" spans="1:6" ht="17" x14ac:dyDescent="0.25">
      <c r="A373" s="2">
        <v>37287</v>
      </c>
      <c r="B373" s="3">
        <v>1934.03</v>
      </c>
      <c r="C373">
        <f t="shared" si="15"/>
        <v>2002</v>
      </c>
      <c r="D373">
        <f t="shared" si="16"/>
        <v>1</v>
      </c>
      <c r="E373" s="7" cm="1">
        <f t="array" ref="E373">LOOKUP(12, D:D/(C:C = C373 - 1), B:B)</f>
        <v>1950.4</v>
      </c>
      <c r="F373">
        <f t="shared" si="17"/>
        <v>0.99160684987694825</v>
      </c>
    </row>
    <row r="374" spans="1:6" ht="17" x14ac:dyDescent="0.25">
      <c r="A374" s="2">
        <v>37315</v>
      </c>
      <c r="B374" s="3">
        <v>1731.49</v>
      </c>
      <c r="C374">
        <f t="shared" si="15"/>
        <v>2002</v>
      </c>
      <c r="D374">
        <f t="shared" si="16"/>
        <v>2</v>
      </c>
      <c r="E374" s="7" cm="1">
        <f t="array" ref="E374">LOOKUP(12, D:D/(C:C = C374 - 1), B:B)</f>
        <v>1950.4</v>
      </c>
      <c r="F374">
        <f t="shared" si="17"/>
        <v>0.88776148482362593</v>
      </c>
    </row>
    <row r="375" spans="1:6" ht="17" x14ac:dyDescent="0.25">
      <c r="A375" s="2">
        <v>37343</v>
      </c>
      <c r="B375" s="3">
        <v>1845.35</v>
      </c>
      <c r="C375">
        <f t="shared" si="15"/>
        <v>2002</v>
      </c>
      <c r="D375">
        <f t="shared" si="16"/>
        <v>3</v>
      </c>
      <c r="E375" s="7" cm="1">
        <f t="array" ref="E375">LOOKUP(12, D:D/(C:C = C375 - 1), B:B)</f>
        <v>1950.4</v>
      </c>
      <c r="F375">
        <f t="shared" si="17"/>
        <v>0.94613925348646422</v>
      </c>
    </row>
    <row r="376" spans="1:6" ht="17" x14ac:dyDescent="0.25">
      <c r="A376" s="2">
        <v>37376</v>
      </c>
      <c r="B376" s="3">
        <v>1688.23</v>
      </c>
      <c r="C376">
        <f t="shared" si="15"/>
        <v>2002</v>
      </c>
      <c r="D376">
        <f t="shared" si="16"/>
        <v>4</v>
      </c>
      <c r="E376" s="7" cm="1">
        <f t="array" ref="E376">LOOKUP(12, D:D/(C:C = C376 - 1), B:B)</f>
        <v>1950.4</v>
      </c>
      <c r="F376">
        <f t="shared" si="17"/>
        <v>0.86558141919606235</v>
      </c>
    </row>
    <row r="377" spans="1:6" ht="17" x14ac:dyDescent="0.25">
      <c r="A377" s="2">
        <v>37407</v>
      </c>
      <c r="B377" s="3">
        <v>1615.73</v>
      </c>
      <c r="C377">
        <f t="shared" si="15"/>
        <v>2002</v>
      </c>
      <c r="D377">
        <f t="shared" si="16"/>
        <v>5</v>
      </c>
      <c r="E377" s="7" cm="1">
        <f t="array" ref="E377">LOOKUP(12, D:D/(C:C = C377 - 1), B:B)</f>
        <v>1950.4</v>
      </c>
      <c r="F377">
        <f t="shared" si="17"/>
        <v>0.82840955701394581</v>
      </c>
    </row>
    <row r="378" spans="1:6" ht="17" x14ac:dyDescent="0.25">
      <c r="A378" s="2">
        <v>37435</v>
      </c>
      <c r="B378" s="3">
        <v>1463.21</v>
      </c>
      <c r="C378">
        <f t="shared" si="15"/>
        <v>2002</v>
      </c>
      <c r="D378">
        <f t="shared" si="16"/>
        <v>6</v>
      </c>
      <c r="E378" s="7" cm="1">
        <f t="array" ref="E378">LOOKUP(12, D:D/(C:C = C378 - 1), B:B)</f>
        <v>1950.4</v>
      </c>
      <c r="F378">
        <f t="shared" si="17"/>
        <v>0.7502102132895816</v>
      </c>
    </row>
    <row r="379" spans="1:6" ht="17" x14ac:dyDescent="0.25">
      <c r="A379" s="2">
        <v>37468</v>
      </c>
      <c r="B379" s="3">
        <v>1328.26</v>
      </c>
      <c r="C379">
        <f t="shared" si="15"/>
        <v>2002</v>
      </c>
      <c r="D379">
        <f t="shared" si="16"/>
        <v>7</v>
      </c>
      <c r="E379" s="7" cm="1">
        <f t="array" ref="E379">LOOKUP(12, D:D/(C:C = C379 - 1), B:B)</f>
        <v>1950.4</v>
      </c>
      <c r="F379">
        <f t="shared" si="17"/>
        <v>0.68101927809680063</v>
      </c>
    </row>
    <row r="380" spans="1:6" ht="17" x14ac:dyDescent="0.25">
      <c r="A380" s="2">
        <v>37498</v>
      </c>
      <c r="B380" s="3">
        <v>1314.85</v>
      </c>
      <c r="C380">
        <f t="shared" si="15"/>
        <v>2002</v>
      </c>
      <c r="D380">
        <f t="shared" si="16"/>
        <v>8</v>
      </c>
      <c r="E380" s="7" cm="1">
        <f t="array" ref="E380">LOOKUP(12, D:D/(C:C = C380 - 1), B:B)</f>
        <v>1950.4</v>
      </c>
      <c r="F380">
        <f t="shared" si="17"/>
        <v>0.67414376538146015</v>
      </c>
    </row>
    <row r="381" spans="1:6" ht="17" x14ac:dyDescent="0.25">
      <c r="A381" s="2">
        <v>37529</v>
      </c>
      <c r="B381" s="3">
        <v>1172.06</v>
      </c>
      <c r="C381">
        <f t="shared" si="15"/>
        <v>2002</v>
      </c>
      <c r="D381">
        <f t="shared" si="16"/>
        <v>9</v>
      </c>
      <c r="E381" s="7" cm="1">
        <f t="array" ref="E381">LOOKUP(12, D:D/(C:C = C381 - 1), B:B)</f>
        <v>1950.4</v>
      </c>
      <c r="F381">
        <f t="shared" si="17"/>
        <v>0.60093314191960623</v>
      </c>
    </row>
    <row r="382" spans="1:6" ht="17" x14ac:dyDescent="0.25">
      <c r="A382" s="2">
        <v>37560</v>
      </c>
      <c r="B382" s="3">
        <v>1329.75</v>
      </c>
      <c r="C382">
        <f t="shared" si="15"/>
        <v>2002</v>
      </c>
      <c r="D382">
        <f t="shared" si="16"/>
        <v>10</v>
      </c>
      <c r="E382" s="7" cm="1">
        <f t="array" ref="E382">LOOKUP(12, D:D/(C:C = C382 - 1), B:B)</f>
        <v>1950.4</v>
      </c>
      <c r="F382">
        <f t="shared" si="17"/>
        <v>0.68178322395406066</v>
      </c>
    </row>
    <row r="383" spans="1:6" ht="17" x14ac:dyDescent="0.25">
      <c r="A383" s="2">
        <v>37589</v>
      </c>
      <c r="B383" s="3">
        <v>1478.78</v>
      </c>
      <c r="C383">
        <f t="shared" si="15"/>
        <v>2002</v>
      </c>
      <c r="D383">
        <f t="shared" si="16"/>
        <v>11</v>
      </c>
      <c r="E383" s="7" cm="1">
        <f t="array" ref="E383">LOOKUP(12, D:D/(C:C = C383 - 1), B:B)</f>
        <v>1950.4</v>
      </c>
      <c r="F383">
        <f t="shared" si="17"/>
        <v>0.75819319114027883</v>
      </c>
    </row>
    <row r="384" spans="1:6" ht="17" x14ac:dyDescent="0.25">
      <c r="A384" s="2">
        <v>37621</v>
      </c>
      <c r="B384" s="3">
        <v>1335.51</v>
      </c>
      <c r="C384">
        <f t="shared" si="15"/>
        <v>2002</v>
      </c>
      <c r="D384">
        <f t="shared" si="16"/>
        <v>12</v>
      </c>
      <c r="E384" s="7" cm="1">
        <f t="array" ref="E384">LOOKUP(12, D:D/(C:C = C384 - 1), B:B)</f>
        <v>1950.4</v>
      </c>
      <c r="F384">
        <f t="shared" si="17"/>
        <v>0.68473646431501223</v>
      </c>
    </row>
    <row r="385" spans="1:6" ht="17" x14ac:dyDescent="0.25">
      <c r="A385" s="2">
        <v>37652</v>
      </c>
      <c r="B385" s="3">
        <v>1320.91</v>
      </c>
      <c r="C385">
        <f t="shared" si="15"/>
        <v>2003</v>
      </c>
      <c r="D385">
        <f t="shared" si="16"/>
        <v>1</v>
      </c>
      <c r="E385" s="7" cm="1">
        <f t="array" ref="E385">LOOKUP(12, D:D/(C:C = C385 - 1), B:B)</f>
        <v>1335.51</v>
      </c>
      <c r="F385">
        <f t="shared" si="17"/>
        <v>0.98906784674019665</v>
      </c>
    </row>
    <row r="386" spans="1:6" ht="17" x14ac:dyDescent="0.25">
      <c r="A386" s="2">
        <v>37680</v>
      </c>
      <c r="B386" s="3">
        <v>1337.52</v>
      </c>
      <c r="C386">
        <f t="shared" ref="C386:C449" si="18">YEAR(A386)</f>
        <v>2003</v>
      </c>
      <c r="D386">
        <f t="shared" ref="D386:D449" si="19">MONTH(A386)</f>
        <v>2</v>
      </c>
      <c r="E386" s="7" cm="1">
        <f t="array" ref="E386">LOOKUP(12, D:D/(C:C = C386 - 1), B:B)</f>
        <v>1335.51</v>
      </c>
      <c r="F386">
        <f t="shared" si="17"/>
        <v>1.0015050430172743</v>
      </c>
    </row>
    <row r="387" spans="1:6" ht="17" x14ac:dyDescent="0.25">
      <c r="A387" s="2">
        <v>37711</v>
      </c>
      <c r="B387" s="3">
        <v>1341.17</v>
      </c>
      <c r="C387">
        <f t="shared" si="18"/>
        <v>2003</v>
      </c>
      <c r="D387">
        <f t="shared" si="19"/>
        <v>3</v>
      </c>
      <c r="E387" s="7" cm="1">
        <f t="array" ref="E387">LOOKUP(12, D:D/(C:C = C387 - 1), B:B)</f>
        <v>1335.51</v>
      </c>
      <c r="F387">
        <f t="shared" ref="F387:F450" si="20">B387/E387</f>
        <v>1.0042380813322251</v>
      </c>
    </row>
    <row r="388" spans="1:6" ht="17" x14ac:dyDescent="0.25">
      <c r="A388" s="2">
        <v>37741</v>
      </c>
      <c r="B388" s="3">
        <v>1464.31</v>
      </c>
      <c r="C388">
        <f t="shared" si="18"/>
        <v>2003</v>
      </c>
      <c r="D388">
        <f t="shared" si="19"/>
        <v>4</v>
      </c>
      <c r="E388" s="7" cm="1">
        <f t="array" ref="E388">LOOKUP(12, D:D/(C:C = C388 - 1), B:B)</f>
        <v>1335.51</v>
      </c>
      <c r="F388">
        <f t="shared" si="20"/>
        <v>1.0964425575248407</v>
      </c>
    </row>
    <row r="389" spans="1:6" ht="17" x14ac:dyDescent="0.25">
      <c r="A389" s="2">
        <v>37771</v>
      </c>
      <c r="B389" s="3">
        <v>1595.91</v>
      </c>
      <c r="C389">
        <f t="shared" si="18"/>
        <v>2003</v>
      </c>
      <c r="D389">
        <f t="shared" si="19"/>
        <v>5</v>
      </c>
      <c r="E389" s="7" cm="1">
        <f t="array" ref="E389">LOOKUP(12, D:D/(C:C = C389 - 1), B:B)</f>
        <v>1335.51</v>
      </c>
      <c r="F389">
        <f t="shared" si="20"/>
        <v>1.1949816923871781</v>
      </c>
    </row>
    <row r="390" spans="1:6" ht="17" x14ac:dyDescent="0.25">
      <c r="A390" s="2">
        <v>37802</v>
      </c>
      <c r="B390" s="3">
        <v>1622.8</v>
      </c>
      <c r="C390">
        <f t="shared" si="18"/>
        <v>2003</v>
      </c>
      <c r="D390">
        <f t="shared" si="19"/>
        <v>6</v>
      </c>
      <c r="E390" s="7" cm="1">
        <f t="array" ref="E390">LOOKUP(12, D:D/(C:C = C390 - 1), B:B)</f>
        <v>1335.51</v>
      </c>
      <c r="F390">
        <f t="shared" si="20"/>
        <v>1.2151163226033499</v>
      </c>
    </row>
    <row r="391" spans="1:6" ht="17" x14ac:dyDescent="0.25">
      <c r="A391" s="2">
        <v>37833</v>
      </c>
      <c r="B391" s="3">
        <v>1735.02</v>
      </c>
      <c r="C391">
        <f t="shared" si="18"/>
        <v>2003</v>
      </c>
      <c r="D391">
        <f t="shared" si="19"/>
        <v>7</v>
      </c>
      <c r="E391" s="7" cm="1">
        <f t="array" ref="E391">LOOKUP(12, D:D/(C:C = C391 - 1), B:B)</f>
        <v>1335.51</v>
      </c>
      <c r="F391">
        <f t="shared" si="20"/>
        <v>1.2991441471797291</v>
      </c>
    </row>
    <row r="392" spans="1:6" ht="17" x14ac:dyDescent="0.25">
      <c r="A392" s="2">
        <v>37862</v>
      </c>
      <c r="B392" s="3">
        <v>1810.45</v>
      </c>
      <c r="C392">
        <f t="shared" si="18"/>
        <v>2003</v>
      </c>
      <c r="D392">
        <f t="shared" si="19"/>
        <v>8</v>
      </c>
      <c r="E392" s="7" cm="1">
        <f t="array" ref="E392">LOOKUP(12, D:D/(C:C = C392 - 1), B:B)</f>
        <v>1335.51</v>
      </c>
      <c r="F392">
        <f t="shared" si="20"/>
        <v>1.3556244430966449</v>
      </c>
    </row>
    <row r="393" spans="1:6" ht="17" x14ac:dyDescent="0.25">
      <c r="A393" s="2">
        <v>37894</v>
      </c>
      <c r="B393" s="3">
        <v>1786.94</v>
      </c>
      <c r="C393">
        <f t="shared" si="18"/>
        <v>2003</v>
      </c>
      <c r="D393">
        <f t="shared" si="19"/>
        <v>9</v>
      </c>
      <c r="E393" s="7" cm="1">
        <f t="array" ref="E393">LOOKUP(12, D:D/(C:C = C393 - 1), B:B)</f>
        <v>1335.51</v>
      </c>
      <c r="F393">
        <f t="shared" si="20"/>
        <v>1.3380206812378792</v>
      </c>
    </row>
    <row r="394" spans="1:6" ht="17" x14ac:dyDescent="0.25">
      <c r="A394" s="2">
        <v>37925</v>
      </c>
      <c r="B394" s="3">
        <v>1932.21</v>
      </c>
      <c r="C394">
        <f t="shared" si="18"/>
        <v>2003</v>
      </c>
      <c r="D394">
        <f t="shared" si="19"/>
        <v>10</v>
      </c>
      <c r="E394" s="7" cm="1">
        <f t="array" ref="E394">LOOKUP(12, D:D/(C:C = C394 - 1), B:B)</f>
        <v>1335.51</v>
      </c>
      <c r="F394">
        <f t="shared" si="20"/>
        <v>1.4467956061729228</v>
      </c>
    </row>
    <row r="395" spans="1:6" ht="17" x14ac:dyDescent="0.25">
      <c r="A395" s="2">
        <v>37953</v>
      </c>
      <c r="B395" s="3">
        <v>1960.26</v>
      </c>
      <c r="C395">
        <f t="shared" si="18"/>
        <v>2003</v>
      </c>
      <c r="D395">
        <f t="shared" si="19"/>
        <v>11</v>
      </c>
      <c r="E395" s="7" cm="1">
        <f t="array" ref="E395">LOOKUP(12, D:D/(C:C = C395 - 1), B:B)</f>
        <v>1335.51</v>
      </c>
      <c r="F395">
        <f t="shared" si="20"/>
        <v>1.4677988184289148</v>
      </c>
    </row>
    <row r="396" spans="1:6" ht="17" x14ac:dyDescent="0.25">
      <c r="A396" s="2">
        <v>37986</v>
      </c>
      <c r="B396" s="3">
        <v>2003.37</v>
      </c>
      <c r="C396">
        <f t="shared" si="18"/>
        <v>2003</v>
      </c>
      <c r="D396">
        <f t="shared" si="19"/>
        <v>12</v>
      </c>
      <c r="E396" s="7" cm="1">
        <f t="array" ref="E396">LOOKUP(12, D:D/(C:C = C396 - 1), B:B)</f>
        <v>1335.51</v>
      </c>
      <c r="F396">
        <f t="shared" si="20"/>
        <v>1.500078621650156</v>
      </c>
    </row>
    <row r="397" spans="1:6" ht="17" x14ac:dyDescent="0.25">
      <c r="A397" s="2">
        <v>38016</v>
      </c>
      <c r="B397" s="3">
        <v>2066.15</v>
      </c>
      <c r="C397">
        <f t="shared" si="18"/>
        <v>2004</v>
      </c>
      <c r="D397">
        <f t="shared" si="19"/>
        <v>1</v>
      </c>
      <c r="E397" s="7" cm="1">
        <f t="array" ref="E397">LOOKUP(12, D:D/(C:C = C397 - 1), B:B)</f>
        <v>2003.37</v>
      </c>
      <c r="F397">
        <f t="shared" si="20"/>
        <v>1.0313371968233527</v>
      </c>
    </row>
    <row r="398" spans="1:6" ht="17" x14ac:dyDescent="0.25">
      <c r="A398" s="2">
        <v>38044</v>
      </c>
      <c r="B398" s="3">
        <v>2029.82</v>
      </c>
      <c r="C398">
        <f t="shared" si="18"/>
        <v>2004</v>
      </c>
      <c r="D398">
        <f t="shared" si="19"/>
        <v>2</v>
      </c>
      <c r="E398" s="7" cm="1">
        <f t="array" ref="E398">LOOKUP(12, D:D/(C:C = C398 - 1), B:B)</f>
        <v>2003.37</v>
      </c>
      <c r="F398">
        <f t="shared" si="20"/>
        <v>1.0132027533605874</v>
      </c>
    </row>
    <row r="399" spans="1:6" ht="17" x14ac:dyDescent="0.25">
      <c r="A399" s="2">
        <v>38077</v>
      </c>
      <c r="B399" s="3">
        <v>1994.22</v>
      </c>
      <c r="C399">
        <f t="shared" si="18"/>
        <v>2004</v>
      </c>
      <c r="D399">
        <f t="shared" si="19"/>
        <v>3</v>
      </c>
      <c r="E399" s="7" cm="1">
        <f t="array" ref="E399">LOOKUP(12, D:D/(C:C = C399 - 1), B:B)</f>
        <v>2003.37</v>
      </c>
      <c r="F399">
        <f t="shared" si="20"/>
        <v>0.99543269590739614</v>
      </c>
    </row>
    <row r="400" spans="1:6" ht="17" x14ac:dyDescent="0.25">
      <c r="A400" s="2">
        <v>38107</v>
      </c>
      <c r="B400" s="3">
        <v>1920.15</v>
      </c>
      <c r="C400">
        <f t="shared" si="18"/>
        <v>2004</v>
      </c>
      <c r="D400">
        <f t="shared" si="19"/>
        <v>4</v>
      </c>
      <c r="E400" s="7" cm="1">
        <f t="array" ref="E400">LOOKUP(12, D:D/(C:C = C400 - 1), B:B)</f>
        <v>2003.37</v>
      </c>
      <c r="F400">
        <f t="shared" si="20"/>
        <v>0.95845999490857914</v>
      </c>
    </row>
    <row r="401" spans="1:6" ht="17" x14ac:dyDescent="0.25">
      <c r="A401" s="2">
        <v>38135</v>
      </c>
      <c r="B401" s="3">
        <v>1986.74</v>
      </c>
      <c r="C401">
        <f t="shared" si="18"/>
        <v>2004</v>
      </c>
      <c r="D401">
        <f t="shared" si="19"/>
        <v>5</v>
      </c>
      <c r="E401" s="7" cm="1">
        <f t="array" ref="E401">LOOKUP(12, D:D/(C:C = C401 - 1), B:B)</f>
        <v>2003.37</v>
      </c>
      <c r="F401">
        <f t="shared" si="20"/>
        <v>0.99169898720655703</v>
      </c>
    </row>
    <row r="402" spans="1:6" ht="17" x14ac:dyDescent="0.25">
      <c r="A402" s="2">
        <v>38168</v>
      </c>
      <c r="B402" s="3">
        <v>2047.79</v>
      </c>
      <c r="C402">
        <f t="shared" si="18"/>
        <v>2004</v>
      </c>
      <c r="D402">
        <f t="shared" si="19"/>
        <v>6</v>
      </c>
      <c r="E402" s="7" cm="1">
        <f t="array" ref="E402">LOOKUP(12, D:D/(C:C = C402 - 1), B:B)</f>
        <v>2003.37</v>
      </c>
      <c r="F402">
        <f t="shared" si="20"/>
        <v>1.0221726391031114</v>
      </c>
    </row>
    <row r="403" spans="1:6" ht="17" x14ac:dyDescent="0.25">
      <c r="A403" s="2">
        <v>38198</v>
      </c>
      <c r="B403" s="3">
        <v>1887.36</v>
      </c>
      <c r="C403">
        <f t="shared" si="18"/>
        <v>2004</v>
      </c>
      <c r="D403">
        <f t="shared" si="19"/>
        <v>7</v>
      </c>
      <c r="E403" s="7" cm="1">
        <f t="array" ref="E403">LOOKUP(12, D:D/(C:C = C403 - 1), B:B)</f>
        <v>2003.37</v>
      </c>
      <c r="F403">
        <f t="shared" si="20"/>
        <v>0.94209257401278845</v>
      </c>
    </row>
    <row r="404" spans="1:6" ht="17" x14ac:dyDescent="0.25">
      <c r="A404" s="2">
        <v>38230</v>
      </c>
      <c r="B404" s="3">
        <v>1838.1</v>
      </c>
      <c r="C404">
        <f t="shared" si="18"/>
        <v>2004</v>
      </c>
      <c r="D404">
        <f t="shared" si="19"/>
        <v>8</v>
      </c>
      <c r="E404" s="7" cm="1">
        <f t="array" ref="E404">LOOKUP(12, D:D/(C:C = C404 - 1), B:B)</f>
        <v>2003.37</v>
      </c>
      <c r="F404">
        <f t="shared" si="20"/>
        <v>0.91750400575031077</v>
      </c>
    </row>
    <row r="405" spans="1:6" ht="17" x14ac:dyDescent="0.25">
      <c r="A405" s="2">
        <v>38260</v>
      </c>
      <c r="B405" s="3">
        <v>1896.84</v>
      </c>
      <c r="C405">
        <f t="shared" si="18"/>
        <v>2004</v>
      </c>
      <c r="D405">
        <f t="shared" si="19"/>
        <v>9</v>
      </c>
      <c r="E405" s="7" cm="1">
        <f t="array" ref="E405">LOOKUP(12, D:D/(C:C = C405 - 1), B:B)</f>
        <v>2003.37</v>
      </c>
      <c r="F405">
        <f t="shared" si="20"/>
        <v>0.94682460054807649</v>
      </c>
    </row>
    <row r="406" spans="1:6" ht="17" x14ac:dyDescent="0.25">
      <c r="A406" s="2">
        <v>38289</v>
      </c>
      <c r="B406" s="3">
        <v>1974.99</v>
      </c>
      <c r="C406">
        <f t="shared" si="18"/>
        <v>2004</v>
      </c>
      <c r="D406">
        <f t="shared" si="19"/>
        <v>10</v>
      </c>
      <c r="E406" s="7" cm="1">
        <f t="array" ref="E406">LOOKUP(12, D:D/(C:C = C406 - 1), B:B)</f>
        <v>2003.37</v>
      </c>
      <c r="F406">
        <f t="shared" si="20"/>
        <v>0.98583386992916944</v>
      </c>
    </row>
    <row r="407" spans="1:6" ht="17" x14ac:dyDescent="0.25">
      <c r="A407" s="2">
        <v>38321</v>
      </c>
      <c r="B407" s="3">
        <v>2096.81</v>
      </c>
      <c r="C407">
        <f t="shared" si="18"/>
        <v>2004</v>
      </c>
      <c r="D407">
        <f t="shared" si="19"/>
        <v>11</v>
      </c>
      <c r="E407" s="7" cm="1">
        <f t="array" ref="E407">LOOKUP(12, D:D/(C:C = C407 - 1), B:B)</f>
        <v>2003.37</v>
      </c>
      <c r="F407">
        <f t="shared" si="20"/>
        <v>1.0466414092254552</v>
      </c>
    </row>
    <row r="408" spans="1:6" ht="17" x14ac:dyDescent="0.25">
      <c r="A408" s="2">
        <v>38352</v>
      </c>
      <c r="B408" s="3">
        <v>2175.44</v>
      </c>
      <c r="C408">
        <f t="shared" si="18"/>
        <v>2004</v>
      </c>
      <c r="D408">
        <f t="shared" si="19"/>
        <v>12</v>
      </c>
      <c r="E408" s="7" cm="1">
        <f t="array" ref="E408">LOOKUP(12, D:D/(C:C = C408 - 1), B:B)</f>
        <v>2003.37</v>
      </c>
      <c r="F408">
        <f t="shared" si="20"/>
        <v>1.0858902748868158</v>
      </c>
    </row>
    <row r="409" spans="1:6" ht="17" x14ac:dyDescent="0.25">
      <c r="A409" s="2">
        <v>38383</v>
      </c>
      <c r="B409" s="3">
        <v>2062.41</v>
      </c>
      <c r="C409">
        <f t="shared" si="18"/>
        <v>2005</v>
      </c>
      <c r="D409">
        <f t="shared" si="19"/>
        <v>1</v>
      </c>
      <c r="E409" s="7" cm="1">
        <f t="array" ref="E409">LOOKUP(12, D:D/(C:C = C409 - 1), B:B)</f>
        <v>2175.44</v>
      </c>
      <c r="F409">
        <f t="shared" si="20"/>
        <v>0.94804269481116454</v>
      </c>
    </row>
    <row r="410" spans="1:6" ht="17" x14ac:dyDescent="0.25">
      <c r="A410" s="2">
        <v>38411</v>
      </c>
      <c r="B410" s="3">
        <v>2051.7199999999998</v>
      </c>
      <c r="C410">
        <f t="shared" si="18"/>
        <v>2005</v>
      </c>
      <c r="D410">
        <f t="shared" si="19"/>
        <v>2</v>
      </c>
      <c r="E410" s="7" cm="1">
        <f t="array" ref="E410">LOOKUP(12, D:D/(C:C = C410 - 1), B:B)</f>
        <v>2175.44</v>
      </c>
      <c r="F410">
        <f t="shared" si="20"/>
        <v>0.9431287463685506</v>
      </c>
    </row>
    <row r="411" spans="1:6" ht="17" x14ac:dyDescent="0.25">
      <c r="A411" s="2">
        <v>38442</v>
      </c>
      <c r="B411" s="3">
        <v>1999.23</v>
      </c>
      <c r="C411">
        <f t="shared" si="18"/>
        <v>2005</v>
      </c>
      <c r="D411">
        <f t="shared" si="19"/>
        <v>3</v>
      </c>
      <c r="E411" s="7" cm="1">
        <f t="array" ref="E411">LOOKUP(12, D:D/(C:C = C411 - 1), B:B)</f>
        <v>2175.44</v>
      </c>
      <c r="F411">
        <f t="shared" si="20"/>
        <v>0.9190002941933586</v>
      </c>
    </row>
    <row r="412" spans="1:6" ht="17" x14ac:dyDescent="0.25">
      <c r="A412" s="2">
        <v>38471</v>
      </c>
      <c r="B412" s="3">
        <v>1921.65</v>
      </c>
      <c r="C412">
        <f t="shared" si="18"/>
        <v>2005</v>
      </c>
      <c r="D412">
        <f t="shared" si="19"/>
        <v>4</v>
      </c>
      <c r="E412" s="7" cm="1">
        <f t="array" ref="E412">LOOKUP(12, D:D/(C:C = C412 - 1), B:B)</f>
        <v>2175.44</v>
      </c>
      <c r="F412">
        <f t="shared" si="20"/>
        <v>0.88333854300739167</v>
      </c>
    </row>
    <row r="413" spans="1:6" ht="17" x14ac:dyDescent="0.25">
      <c r="A413" s="2">
        <v>38503</v>
      </c>
      <c r="B413" s="3">
        <v>2068.2199999999998</v>
      </c>
      <c r="C413">
        <f t="shared" si="18"/>
        <v>2005</v>
      </c>
      <c r="D413">
        <f t="shared" si="19"/>
        <v>5</v>
      </c>
      <c r="E413" s="7" cm="1">
        <f t="array" ref="E413">LOOKUP(12, D:D/(C:C = C413 - 1), B:B)</f>
        <v>2175.44</v>
      </c>
      <c r="F413">
        <f t="shared" si="20"/>
        <v>0.95071341889456829</v>
      </c>
    </row>
    <row r="414" spans="1:6" ht="17" x14ac:dyDescent="0.25">
      <c r="A414" s="2">
        <v>38533</v>
      </c>
      <c r="B414" s="3">
        <v>2056.96</v>
      </c>
      <c r="C414">
        <f t="shared" si="18"/>
        <v>2005</v>
      </c>
      <c r="D414">
        <f t="shared" si="19"/>
        <v>6</v>
      </c>
      <c r="E414" s="7" cm="1">
        <f t="array" ref="E414">LOOKUP(12, D:D/(C:C = C414 - 1), B:B)</f>
        <v>2175.44</v>
      </c>
      <c r="F414">
        <f t="shared" si="20"/>
        <v>0.9455374544919648</v>
      </c>
    </row>
    <row r="415" spans="1:6" ht="17" x14ac:dyDescent="0.25">
      <c r="A415" s="2">
        <v>38562</v>
      </c>
      <c r="B415" s="3">
        <v>2184.83</v>
      </c>
      <c r="C415">
        <f t="shared" si="18"/>
        <v>2005</v>
      </c>
      <c r="D415">
        <f t="shared" si="19"/>
        <v>7</v>
      </c>
      <c r="E415" s="7" cm="1">
        <f t="array" ref="E415">LOOKUP(12, D:D/(C:C = C415 - 1), B:B)</f>
        <v>2175.44</v>
      </c>
      <c r="F415">
        <f t="shared" si="20"/>
        <v>1.0043163681829883</v>
      </c>
    </row>
    <row r="416" spans="1:6" ht="17" x14ac:dyDescent="0.25">
      <c r="A416" s="2">
        <v>38595</v>
      </c>
      <c r="B416" s="3">
        <v>2152.09</v>
      </c>
      <c r="C416">
        <f t="shared" si="18"/>
        <v>2005</v>
      </c>
      <c r="D416">
        <f t="shared" si="19"/>
        <v>8</v>
      </c>
      <c r="E416" s="7" cm="1">
        <f t="array" ref="E416">LOOKUP(12, D:D/(C:C = C416 - 1), B:B)</f>
        <v>2175.44</v>
      </c>
      <c r="F416">
        <f t="shared" si="20"/>
        <v>0.98926653918287799</v>
      </c>
    </row>
    <row r="417" spans="1:6" ht="17" x14ac:dyDescent="0.25">
      <c r="A417" s="2">
        <v>38625</v>
      </c>
      <c r="B417" s="3">
        <v>2151.69</v>
      </c>
      <c r="C417">
        <f t="shared" si="18"/>
        <v>2005</v>
      </c>
      <c r="D417">
        <f t="shared" si="19"/>
        <v>9</v>
      </c>
      <c r="E417" s="7" cm="1">
        <f t="array" ref="E417">LOOKUP(12, D:D/(C:C = C417 - 1), B:B)</f>
        <v>2175.44</v>
      </c>
      <c r="F417">
        <f t="shared" si="20"/>
        <v>0.98908266833376235</v>
      </c>
    </row>
    <row r="418" spans="1:6" ht="17" x14ac:dyDescent="0.25">
      <c r="A418" s="2">
        <v>38656</v>
      </c>
      <c r="B418" s="3">
        <v>2120.3000000000002</v>
      </c>
      <c r="C418">
        <f t="shared" si="18"/>
        <v>2005</v>
      </c>
      <c r="D418">
        <f t="shared" si="19"/>
        <v>10</v>
      </c>
      <c r="E418" s="7" cm="1">
        <f t="array" ref="E418">LOOKUP(12, D:D/(C:C = C418 - 1), B:B)</f>
        <v>2175.44</v>
      </c>
      <c r="F418">
        <f t="shared" si="20"/>
        <v>0.9746534034494172</v>
      </c>
    </row>
    <row r="419" spans="1:6" ht="17" x14ac:dyDescent="0.25">
      <c r="A419" s="2">
        <v>38686</v>
      </c>
      <c r="B419" s="3">
        <v>2232.8200000000002</v>
      </c>
      <c r="C419">
        <f t="shared" si="18"/>
        <v>2005</v>
      </c>
      <c r="D419">
        <f t="shared" si="19"/>
        <v>11</v>
      </c>
      <c r="E419" s="7" cm="1">
        <f t="array" ref="E419">LOOKUP(12, D:D/(C:C = C419 - 1), B:B)</f>
        <v>2175.44</v>
      </c>
      <c r="F419">
        <f t="shared" si="20"/>
        <v>1.0263762733056301</v>
      </c>
    </row>
    <row r="420" spans="1:6" ht="17" x14ac:dyDescent="0.25">
      <c r="A420" s="2">
        <v>38716</v>
      </c>
      <c r="B420" s="3">
        <v>2205.3200000000002</v>
      </c>
      <c r="C420">
        <f t="shared" si="18"/>
        <v>2005</v>
      </c>
      <c r="D420">
        <f t="shared" si="19"/>
        <v>12</v>
      </c>
      <c r="E420" s="7" cm="1">
        <f t="array" ref="E420">LOOKUP(12, D:D/(C:C = C420 - 1), B:B)</f>
        <v>2175.44</v>
      </c>
      <c r="F420">
        <f t="shared" si="20"/>
        <v>1.013735152428934</v>
      </c>
    </row>
    <row r="421" spans="1:6" ht="17" x14ac:dyDescent="0.25">
      <c r="A421" s="2">
        <v>38748</v>
      </c>
      <c r="B421" s="3">
        <v>2305.8200000000002</v>
      </c>
      <c r="C421">
        <f t="shared" si="18"/>
        <v>2006</v>
      </c>
      <c r="D421">
        <f t="shared" si="19"/>
        <v>1</v>
      </c>
      <c r="E421" s="7" cm="1">
        <f t="array" ref="E421">LOOKUP(12, D:D/(C:C = C421 - 1), B:B)</f>
        <v>2205.3200000000002</v>
      </c>
      <c r="F421">
        <f t="shared" si="20"/>
        <v>1.0455716177244119</v>
      </c>
    </row>
    <row r="422" spans="1:6" ht="17" x14ac:dyDescent="0.25">
      <c r="A422" s="2">
        <v>38776</v>
      </c>
      <c r="B422" s="3">
        <v>2281.39</v>
      </c>
      <c r="C422">
        <f t="shared" si="18"/>
        <v>2006</v>
      </c>
      <c r="D422">
        <f t="shared" si="19"/>
        <v>2</v>
      </c>
      <c r="E422" s="7" cm="1">
        <f t="array" ref="E422">LOOKUP(12, D:D/(C:C = C422 - 1), B:B)</f>
        <v>2205.3200000000002</v>
      </c>
      <c r="F422">
        <f t="shared" si="20"/>
        <v>1.0344938603014526</v>
      </c>
    </row>
    <row r="423" spans="1:6" ht="17" x14ac:dyDescent="0.25">
      <c r="A423" s="2">
        <v>38807</v>
      </c>
      <c r="B423" s="3">
        <v>2339.79</v>
      </c>
      <c r="C423">
        <f t="shared" si="18"/>
        <v>2006</v>
      </c>
      <c r="D423">
        <f t="shared" si="19"/>
        <v>3</v>
      </c>
      <c r="E423" s="7" cm="1">
        <f t="array" ref="E423">LOOKUP(12, D:D/(C:C = C423 - 1), B:B)</f>
        <v>2205.3200000000002</v>
      </c>
      <c r="F423">
        <f t="shared" si="20"/>
        <v>1.0609752779641957</v>
      </c>
    </row>
    <row r="424" spans="1:6" ht="17" x14ac:dyDescent="0.25">
      <c r="A424" s="2">
        <v>38835</v>
      </c>
      <c r="B424" s="3">
        <v>2322.5700000000002</v>
      </c>
      <c r="C424">
        <f t="shared" si="18"/>
        <v>2006</v>
      </c>
      <c r="D424">
        <f t="shared" si="19"/>
        <v>4</v>
      </c>
      <c r="E424" s="7" cm="1">
        <f t="array" ref="E424">LOOKUP(12, D:D/(C:C = C424 - 1), B:B)</f>
        <v>2205.3200000000002</v>
      </c>
      <c r="F424">
        <f t="shared" si="20"/>
        <v>1.0531668873451472</v>
      </c>
    </row>
    <row r="425" spans="1:6" ht="17" x14ac:dyDescent="0.25">
      <c r="A425" s="2">
        <v>38868</v>
      </c>
      <c r="B425" s="3">
        <v>2178.88</v>
      </c>
      <c r="C425">
        <f t="shared" si="18"/>
        <v>2006</v>
      </c>
      <c r="D425">
        <f t="shared" si="19"/>
        <v>5</v>
      </c>
      <c r="E425" s="7" cm="1">
        <f t="array" ref="E425">LOOKUP(12, D:D/(C:C = C425 - 1), B:B)</f>
        <v>2205.3200000000002</v>
      </c>
      <c r="F425">
        <f t="shared" si="20"/>
        <v>0.98801081022255266</v>
      </c>
    </row>
    <row r="426" spans="1:6" ht="17" x14ac:dyDescent="0.25">
      <c r="A426" s="2">
        <v>38898</v>
      </c>
      <c r="B426" s="3">
        <v>2172.09</v>
      </c>
      <c r="C426">
        <f t="shared" si="18"/>
        <v>2006</v>
      </c>
      <c r="D426">
        <f t="shared" si="19"/>
        <v>6</v>
      </c>
      <c r="E426" s="7" cm="1">
        <f t="array" ref="E426">LOOKUP(12, D:D/(C:C = C426 - 1), B:B)</f>
        <v>2205.3200000000002</v>
      </c>
      <c r="F426">
        <f t="shared" si="20"/>
        <v>0.98493189197032627</v>
      </c>
    </row>
    <row r="427" spans="1:6" ht="17" x14ac:dyDescent="0.25">
      <c r="A427" s="2">
        <v>38929</v>
      </c>
      <c r="B427" s="3">
        <v>2091.4699999999998</v>
      </c>
      <c r="C427">
        <f t="shared" si="18"/>
        <v>2006</v>
      </c>
      <c r="D427">
        <f t="shared" si="19"/>
        <v>7</v>
      </c>
      <c r="E427" s="7" cm="1">
        <f t="array" ref="E427">LOOKUP(12, D:D/(C:C = C427 - 1), B:B)</f>
        <v>2205.3200000000002</v>
      </c>
      <c r="F427">
        <f t="shared" si="20"/>
        <v>0.9483748390256288</v>
      </c>
    </row>
    <row r="428" spans="1:6" ht="17" x14ac:dyDescent="0.25">
      <c r="A428" s="2">
        <v>38960</v>
      </c>
      <c r="B428" s="3">
        <v>2183.75</v>
      </c>
      <c r="C428">
        <f t="shared" si="18"/>
        <v>2006</v>
      </c>
      <c r="D428">
        <f t="shared" si="19"/>
        <v>8</v>
      </c>
      <c r="E428" s="7" cm="1">
        <f t="array" ref="E428">LOOKUP(12, D:D/(C:C = C428 - 1), B:B)</f>
        <v>2205.3200000000002</v>
      </c>
      <c r="F428">
        <f t="shared" si="20"/>
        <v>0.99021910652422318</v>
      </c>
    </row>
    <row r="429" spans="1:6" ht="17" x14ac:dyDescent="0.25">
      <c r="A429" s="2">
        <v>38989</v>
      </c>
      <c r="B429" s="3">
        <v>2258.4299999999998</v>
      </c>
      <c r="C429">
        <f t="shared" si="18"/>
        <v>2006</v>
      </c>
      <c r="D429">
        <f t="shared" si="19"/>
        <v>9</v>
      </c>
      <c r="E429" s="7" cm="1">
        <f t="array" ref="E429">LOOKUP(12, D:D/(C:C = C429 - 1), B:B)</f>
        <v>2205.3200000000002</v>
      </c>
      <c r="F429">
        <f t="shared" si="20"/>
        <v>1.0240826728093881</v>
      </c>
    </row>
    <row r="430" spans="1:6" ht="17" x14ac:dyDescent="0.25">
      <c r="A430" s="2">
        <v>39021</v>
      </c>
      <c r="B430" s="3">
        <v>2366.71</v>
      </c>
      <c r="C430">
        <f t="shared" si="18"/>
        <v>2006</v>
      </c>
      <c r="D430">
        <f t="shared" si="19"/>
        <v>10</v>
      </c>
      <c r="E430" s="7" cm="1">
        <f t="array" ref="E430">LOOKUP(12, D:D/(C:C = C430 - 1), B:B)</f>
        <v>2205.3200000000002</v>
      </c>
      <c r="F430">
        <f t="shared" si="20"/>
        <v>1.0731821232292817</v>
      </c>
    </row>
    <row r="431" spans="1:6" ht="17" x14ac:dyDescent="0.25">
      <c r="A431" s="2">
        <v>39051</v>
      </c>
      <c r="B431" s="3">
        <v>2431.77</v>
      </c>
      <c r="C431">
        <f t="shared" si="18"/>
        <v>2006</v>
      </c>
      <c r="D431">
        <f t="shared" si="19"/>
        <v>11</v>
      </c>
      <c r="E431" s="7" cm="1">
        <f t="array" ref="E431">LOOKUP(12, D:D/(C:C = C431 - 1), B:B)</f>
        <v>2205.3200000000002</v>
      </c>
      <c r="F431">
        <f t="shared" si="20"/>
        <v>1.1026835107830155</v>
      </c>
    </row>
    <row r="432" spans="1:6" ht="17" x14ac:dyDescent="0.25">
      <c r="A432" s="2">
        <v>39080</v>
      </c>
      <c r="B432" s="3">
        <v>2415.29</v>
      </c>
      <c r="C432">
        <f t="shared" si="18"/>
        <v>2006</v>
      </c>
      <c r="D432">
        <f t="shared" si="19"/>
        <v>12</v>
      </c>
      <c r="E432" s="7" cm="1">
        <f t="array" ref="E432">LOOKUP(12, D:D/(C:C = C432 - 1), B:B)</f>
        <v>2205.3200000000002</v>
      </c>
      <c r="F432">
        <f t="shared" si="20"/>
        <v>1.0952106723740771</v>
      </c>
    </row>
    <row r="433" spans="1:6" ht="17" x14ac:dyDescent="0.25">
      <c r="A433" s="2">
        <v>39113</v>
      </c>
      <c r="B433" s="3">
        <v>2463.9299999999998</v>
      </c>
      <c r="C433">
        <f t="shared" si="18"/>
        <v>2007</v>
      </c>
      <c r="D433">
        <f t="shared" si="19"/>
        <v>1</v>
      </c>
      <c r="E433" s="7" cm="1">
        <f t="array" ref="E433">LOOKUP(12, D:D/(C:C = C433 - 1), B:B)</f>
        <v>2415.29</v>
      </c>
      <c r="F433">
        <f t="shared" si="20"/>
        <v>1.0201383684774912</v>
      </c>
    </row>
    <row r="434" spans="1:6" ht="17" x14ac:dyDescent="0.25">
      <c r="A434" s="2">
        <v>39141</v>
      </c>
      <c r="B434" s="3">
        <v>2416.15</v>
      </c>
      <c r="C434">
        <f t="shared" si="18"/>
        <v>2007</v>
      </c>
      <c r="D434">
        <f t="shared" si="19"/>
        <v>2</v>
      </c>
      <c r="E434" s="7" cm="1">
        <f t="array" ref="E434">LOOKUP(12, D:D/(C:C = C434 - 1), B:B)</f>
        <v>2415.29</v>
      </c>
      <c r="F434">
        <f t="shared" si="20"/>
        <v>1.0003560649031793</v>
      </c>
    </row>
    <row r="435" spans="1:6" ht="17" x14ac:dyDescent="0.25">
      <c r="A435" s="2">
        <v>39171</v>
      </c>
      <c r="B435" s="3">
        <v>2421.64</v>
      </c>
      <c r="C435">
        <f t="shared" si="18"/>
        <v>2007</v>
      </c>
      <c r="D435">
        <f t="shared" si="19"/>
        <v>3</v>
      </c>
      <c r="E435" s="7" cm="1">
        <f t="array" ref="E435">LOOKUP(12, D:D/(C:C = C435 - 1), B:B)</f>
        <v>2415.29</v>
      </c>
      <c r="F435">
        <f t="shared" si="20"/>
        <v>1.0026290838781264</v>
      </c>
    </row>
    <row r="436" spans="1:6" ht="17" x14ac:dyDescent="0.25">
      <c r="A436" s="2">
        <v>39202</v>
      </c>
      <c r="B436" s="3">
        <v>2525.09</v>
      </c>
      <c r="C436">
        <f t="shared" si="18"/>
        <v>2007</v>
      </c>
      <c r="D436">
        <f t="shared" si="19"/>
        <v>4</v>
      </c>
      <c r="E436" s="7" cm="1">
        <f t="array" ref="E436">LOOKUP(12, D:D/(C:C = C436 - 1), B:B)</f>
        <v>2415.29</v>
      </c>
      <c r="F436">
        <f t="shared" si="20"/>
        <v>1.0454603794989423</v>
      </c>
    </row>
    <row r="437" spans="1:6" ht="17" x14ac:dyDescent="0.25">
      <c r="A437" s="2">
        <v>39233</v>
      </c>
      <c r="B437" s="3">
        <v>2604.52</v>
      </c>
      <c r="C437">
        <f t="shared" si="18"/>
        <v>2007</v>
      </c>
      <c r="D437">
        <f t="shared" si="19"/>
        <v>5</v>
      </c>
      <c r="E437" s="7" cm="1">
        <f t="array" ref="E437">LOOKUP(12, D:D/(C:C = C437 - 1), B:B)</f>
        <v>2415.29</v>
      </c>
      <c r="F437">
        <f t="shared" si="20"/>
        <v>1.0783466995681679</v>
      </c>
    </row>
    <row r="438" spans="1:6" ht="17" x14ac:dyDescent="0.25">
      <c r="A438" s="2">
        <v>39262</v>
      </c>
      <c r="B438" s="3">
        <v>2603.23</v>
      </c>
      <c r="C438">
        <f t="shared" si="18"/>
        <v>2007</v>
      </c>
      <c r="D438">
        <f t="shared" si="19"/>
        <v>6</v>
      </c>
      <c r="E438" s="7" cm="1">
        <f t="array" ref="E438">LOOKUP(12, D:D/(C:C = C438 - 1), B:B)</f>
        <v>2415.29</v>
      </c>
      <c r="F438">
        <f t="shared" si="20"/>
        <v>1.0778126022133989</v>
      </c>
    </row>
    <row r="439" spans="1:6" ht="17" x14ac:dyDescent="0.25">
      <c r="A439" s="2">
        <v>39294</v>
      </c>
      <c r="B439" s="3">
        <v>2546.27</v>
      </c>
      <c r="C439">
        <f t="shared" si="18"/>
        <v>2007</v>
      </c>
      <c r="D439">
        <f t="shared" si="19"/>
        <v>7</v>
      </c>
      <c r="E439" s="7" cm="1">
        <f t="array" ref="E439">LOOKUP(12, D:D/(C:C = C439 - 1), B:B)</f>
        <v>2415.29</v>
      </c>
      <c r="F439">
        <f t="shared" si="20"/>
        <v>1.0542295128121262</v>
      </c>
    </row>
    <row r="440" spans="1:6" ht="17" x14ac:dyDescent="0.25">
      <c r="A440" s="2">
        <v>39325</v>
      </c>
      <c r="B440" s="3">
        <v>2596.36</v>
      </c>
      <c r="C440">
        <f t="shared" si="18"/>
        <v>2007</v>
      </c>
      <c r="D440">
        <f t="shared" si="19"/>
        <v>8</v>
      </c>
      <c r="E440" s="7" cm="1">
        <f t="array" ref="E440">LOOKUP(12, D:D/(C:C = C440 - 1), B:B)</f>
        <v>2415.29</v>
      </c>
      <c r="F440">
        <f t="shared" si="20"/>
        <v>1.0749682232775362</v>
      </c>
    </row>
    <row r="441" spans="1:6" ht="17" x14ac:dyDescent="0.25">
      <c r="A441" s="2">
        <v>39353</v>
      </c>
      <c r="B441" s="3">
        <v>2701.5</v>
      </c>
      <c r="C441">
        <f t="shared" si="18"/>
        <v>2007</v>
      </c>
      <c r="D441">
        <f t="shared" si="19"/>
        <v>9</v>
      </c>
      <c r="E441" s="7" cm="1">
        <f t="array" ref="E441">LOOKUP(12, D:D/(C:C = C441 - 1), B:B)</f>
        <v>2415.29</v>
      </c>
      <c r="F441">
        <f t="shared" si="20"/>
        <v>1.1184992278359949</v>
      </c>
    </row>
    <row r="442" spans="1:6" ht="17" x14ac:dyDescent="0.25">
      <c r="A442" s="2">
        <v>39386</v>
      </c>
      <c r="B442" s="3">
        <v>2859.12</v>
      </c>
      <c r="C442">
        <f t="shared" si="18"/>
        <v>2007</v>
      </c>
      <c r="D442">
        <f t="shared" si="19"/>
        <v>10</v>
      </c>
      <c r="E442" s="7" cm="1">
        <f t="array" ref="E442">LOOKUP(12, D:D/(C:C = C442 - 1), B:B)</f>
        <v>2415.29</v>
      </c>
      <c r="F442">
        <f t="shared" si="20"/>
        <v>1.1837584720675365</v>
      </c>
    </row>
    <row r="443" spans="1:6" ht="17" x14ac:dyDescent="0.25">
      <c r="A443" s="2">
        <v>39416</v>
      </c>
      <c r="B443" s="3">
        <v>2660.96</v>
      </c>
      <c r="C443">
        <f t="shared" si="18"/>
        <v>2007</v>
      </c>
      <c r="D443">
        <f t="shared" si="19"/>
        <v>11</v>
      </c>
      <c r="E443" s="7" cm="1">
        <f t="array" ref="E443">LOOKUP(12, D:D/(C:C = C443 - 1), B:B)</f>
        <v>2415.29</v>
      </c>
      <c r="F443">
        <f t="shared" si="20"/>
        <v>1.1017144939117043</v>
      </c>
    </row>
    <row r="444" spans="1:6" ht="17" x14ac:dyDescent="0.25">
      <c r="A444" s="2">
        <v>39447</v>
      </c>
      <c r="B444" s="3">
        <v>2652.28</v>
      </c>
      <c r="C444">
        <f t="shared" si="18"/>
        <v>2007</v>
      </c>
      <c r="D444">
        <f t="shared" si="19"/>
        <v>12</v>
      </c>
      <c r="E444" s="7" cm="1">
        <f t="array" ref="E444">LOOKUP(12, D:D/(C:C = C444 - 1), B:B)</f>
        <v>2415.29</v>
      </c>
      <c r="F444">
        <f t="shared" si="20"/>
        <v>1.0981207225633363</v>
      </c>
    </row>
    <row r="445" spans="1:6" ht="17" x14ac:dyDescent="0.25">
      <c r="A445" s="2">
        <v>39478</v>
      </c>
      <c r="B445" s="3">
        <v>2389.86</v>
      </c>
      <c r="C445">
        <f t="shared" si="18"/>
        <v>2008</v>
      </c>
      <c r="D445">
        <f t="shared" si="19"/>
        <v>1</v>
      </c>
      <c r="E445" s="7" cm="1">
        <f t="array" ref="E445">LOOKUP(12, D:D/(C:C = C445 - 1), B:B)</f>
        <v>2652.28</v>
      </c>
      <c r="F445">
        <f t="shared" si="20"/>
        <v>0.90105871174989061</v>
      </c>
    </row>
    <row r="446" spans="1:6" ht="17" x14ac:dyDescent="0.25">
      <c r="A446" s="2">
        <v>39507</v>
      </c>
      <c r="B446" s="3">
        <v>2271.48</v>
      </c>
      <c r="C446">
        <f t="shared" si="18"/>
        <v>2008</v>
      </c>
      <c r="D446">
        <f t="shared" si="19"/>
        <v>2</v>
      </c>
      <c r="E446" s="7" cm="1">
        <f t="array" ref="E446">LOOKUP(12, D:D/(C:C = C446 - 1), B:B)</f>
        <v>2652.28</v>
      </c>
      <c r="F446">
        <f t="shared" si="20"/>
        <v>0.85642541511454295</v>
      </c>
    </row>
    <row r="447" spans="1:6" ht="17" x14ac:dyDescent="0.25">
      <c r="A447" s="2">
        <v>39538</v>
      </c>
      <c r="B447" s="3">
        <v>2279.1</v>
      </c>
      <c r="C447">
        <f t="shared" si="18"/>
        <v>2008</v>
      </c>
      <c r="D447">
        <f t="shared" si="19"/>
        <v>3</v>
      </c>
      <c r="E447" s="7" cm="1">
        <f t="array" ref="E447">LOOKUP(12, D:D/(C:C = C447 - 1), B:B)</f>
        <v>2652.28</v>
      </c>
      <c r="F447">
        <f t="shared" si="20"/>
        <v>0.85929841494864789</v>
      </c>
    </row>
    <row r="448" spans="1:6" ht="17" x14ac:dyDescent="0.25">
      <c r="A448" s="2">
        <v>39568</v>
      </c>
      <c r="B448" s="3">
        <v>2412.8000000000002</v>
      </c>
      <c r="C448">
        <f t="shared" si="18"/>
        <v>2008</v>
      </c>
      <c r="D448">
        <f t="shared" si="19"/>
        <v>4</v>
      </c>
      <c r="E448" s="7" cm="1">
        <f t="array" ref="E448">LOOKUP(12, D:D/(C:C = C448 - 1), B:B)</f>
        <v>2652.28</v>
      </c>
      <c r="F448">
        <f t="shared" si="20"/>
        <v>0.90970787398012276</v>
      </c>
    </row>
    <row r="449" spans="1:6" ht="17" x14ac:dyDescent="0.25">
      <c r="A449" s="2">
        <v>39598</v>
      </c>
      <c r="B449" s="3">
        <v>2522.66</v>
      </c>
      <c r="C449">
        <f t="shared" si="18"/>
        <v>2008</v>
      </c>
      <c r="D449">
        <f t="shared" si="19"/>
        <v>5</v>
      </c>
      <c r="E449" s="7" cm="1">
        <f t="array" ref="E449">LOOKUP(12, D:D/(C:C = C449 - 1), B:B)</f>
        <v>2652.28</v>
      </c>
      <c r="F449">
        <f t="shared" si="20"/>
        <v>0.95112884009229781</v>
      </c>
    </row>
    <row r="450" spans="1:6" ht="17" x14ac:dyDescent="0.25">
      <c r="A450" s="2">
        <v>39629</v>
      </c>
      <c r="B450" s="3">
        <v>2292.98</v>
      </c>
      <c r="C450">
        <f t="shared" ref="C450:C513" si="21">YEAR(A450)</f>
        <v>2008</v>
      </c>
      <c r="D450">
        <f t="shared" ref="D450:D513" si="22">MONTH(A450)</f>
        <v>6</v>
      </c>
      <c r="E450" s="7" cm="1">
        <f t="array" ref="E450">LOOKUP(12, D:D/(C:C = C450 - 1), B:B)</f>
        <v>2652.28</v>
      </c>
      <c r="F450">
        <f t="shared" si="20"/>
        <v>0.86453164824226703</v>
      </c>
    </row>
    <row r="451" spans="1:6" ht="17" x14ac:dyDescent="0.25">
      <c r="A451" s="2">
        <v>39660</v>
      </c>
      <c r="B451" s="3">
        <v>2325.5500000000002</v>
      </c>
      <c r="C451">
        <f t="shared" si="21"/>
        <v>2008</v>
      </c>
      <c r="D451">
        <f t="shared" si="22"/>
        <v>7</v>
      </c>
      <c r="E451" s="7" cm="1">
        <f t="array" ref="E451">LOOKUP(12, D:D/(C:C = C451 - 1), B:B)</f>
        <v>2652.28</v>
      </c>
      <c r="F451">
        <f t="shared" ref="F451:F514" si="23">B451/E451</f>
        <v>0.87681164884552154</v>
      </c>
    </row>
    <row r="452" spans="1:6" ht="17" x14ac:dyDescent="0.25">
      <c r="A452" s="2">
        <v>39689</v>
      </c>
      <c r="B452" s="3">
        <v>2367.52</v>
      </c>
      <c r="C452">
        <f t="shared" si="21"/>
        <v>2008</v>
      </c>
      <c r="D452">
        <f t="shared" si="22"/>
        <v>8</v>
      </c>
      <c r="E452" s="7" cm="1">
        <f t="array" ref="E452">LOOKUP(12, D:D/(C:C = C452 - 1), B:B)</f>
        <v>2652.28</v>
      </c>
      <c r="F452">
        <f t="shared" si="23"/>
        <v>0.89263576997903682</v>
      </c>
    </row>
    <row r="453" spans="1:6" ht="17" x14ac:dyDescent="0.25">
      <c r="A453" s="2">
        <v>39721</v>
      </c>
      <c r="B453" s="3">
        <v>2091.88</v>
      </c>
      <c r="C453">
        <f t="shared" si="21"/>
        <v>2008</v>
      </c>
      <c r="D453">
        <f t="shared" si="22"/>
        <v>9</v>
      </c>
      <c r="E453" s="7" cm="1">
        <f t="array" ref="E453">LOOKUP(12, D:D/(C:C = C453 - 1), B:B)</f>
        <v>2652.28</v>
      </c>
      <c r="F453">
        <f t="shared" si="23"/>
        <v>0.78871009094062461</v>
      </c>
    </row>
    <row r="454" spans="1:6" ht="17" x14ac:dyDescent="0.25">
      <c r="A454" s="2">
        <v>39752</v>
      </c>
      <c r="B454" s="3">
        <v>1720.95</v>
      </c>
      <c r="C454">
        <f t="shared" si="21"/>
        <v>2008</v>
      </c>
      <c r="D454">
        <f t="shared" si="22"/>
        <v>10</v>
      </c>
      <c r="E454" s="7" cm="1">
        <f t="array" ref="E454">LOOKUP(12, D:D/(C:C = C454 - 1), B:B)</f>
        <v>2652.28</v>
      </c>
      <c r="F454">
        <f t="shared" si="23"/>
        <v>0.64885683261194138</v>
      </c>
    </row>
    <row r="455" spans="1:6" ht="17" x14ac:dyDescent="0.25">
      <c r="A455" s="2">
        <v>39780</v>
      </c>
      <c r="B455" s="3">
        <v>1535.57</v>
      </c>
      <c r="C455">
        <f t="shared" si="21"/>
        <v>2008</v>
      </c>
      <c r="D455">
        <f t="shared" si="22"/>
        <v>11</v>
      </c>
      <c r="E455" s="7" cm="1">
        <f t="array" ref="E455">LOOKUP(12, D:D/(C:C = C455 - 1), B:B)</f>
        <v>2652.28</v>
      </c>
      <c r="F455">
        <f t="shared" si="23"/>
        <v>0.57896225134601165</v>
      </c>
    </row>
    <row r="456" spans="1:6" ht="17" x14ac:dyDescent="0.25">
      <c r="A456" s="2">
        <v>39813</v>
      </c>
      <c r="B456" s="3">
        <v>1577.03</v>
      </c>
      <c r="C456">
        <f t="shared" si="21"/>
        <v>2008</v>
      </c>
      <c r="D456">
        <f t="shared" si="22"/>
        <v>12</v>
      </c>
      <c r="E456" s="7" cm="1">
        <f t="array" ref="E456">LOOKUP(12, D:D/(C:C = C456 - 1), B:B)</f>
        <v>2652.28</v>
      </c>
      <c r="F456">
        <f t="shared" si="23"/>
        <v>0.59459408508905542</v>
      </c>
    </row>
    <row r="457" spans="1:6" ht="17" x14ac:dyDescent="0.25">
      <c r="A457" s="2">
        <v>39843</v>
      </c>
      <c r="B457" s="3">
        <v>1476.42</v>
      </c>
      <c r="C457">
        <f t="shared" si="21"/>
        <v>2009</v>
      </c>
      <c r="D457">
        <f t="shared" si="22"/>
        <v>1</v>
      </c>
      <c r="E457" s="7" cm="1">
        <f t="array" ref="E457">LOOKUP(12, D:D/(C:C = C457 - 1), B:B)</f>
        <v>1577.03</v>
      </c>
      <c r="F457">
        <f t="shared" si="23"/>
        <v>0.9362028623425046</v>
      </c>
    </row>
    <row r="458" spans="1:6" ht="17" x14ac:dyDescent="0.25">
      <c r="A458" s="2">
        <v>39871</v>
      </c>
      <c r="B458" s="3">
        <v>1377.84</v>
      </c>
      <c r="C458">
        <f t="shared" si="21"/>
        <v>2009</v>
      </c>
      <c r="D458">
        <f t="shared" si="22"/>
        <v>2</v>
      </c>
      <c r="E458" s="7" cm="1">
        <f t="array" ref="E458">LOOKUP(12, D:D/(C:C = C458 - 1), B:B)</f>
        <v>1577.03</v>
      </c>
      <c r="F458">
        <f t="shared" si="23"/>
        <v>0.87369295447772077</v>
      </c>
    </row>
    <row r="459" spans="1:6" ht="17" x14ac:dyDescent="0.25">
      <c r="A459" s="2">
        <v>39903</v>
      </c>
      <c r="B459" s="3">
        <v>1528.59</v>
      </c>
      <c r="C459">
        <f t="shared" si="21"/>
        <v>2009</v>
      </c>
      <c r="D459">
        <f t="shared" si="22"/>
        <v>3</v>
      </c>
      <c r="E459" s="7" cm="1">
        <f t="array" ref="E459">LOOKUP(12, D:D/(C:C = C459 - 1), B:B)</f>
        <v>1577.03</v>
      </c>
      <c r="F459">
        <f t="shared" si="23"/>
        <v>0.96928403391184692</v>
      </c>
    </row>
    <row r="460" spans="1:6" ht="17" x14ac:dyDescent="0.25">
      <c r="A460" s="2">
        <v>39933</v>
      </c>
      <c r="B460" s="3">
        <v>1717.3</v>
      </c>
      <c r="C460">
        <f t="shared" si="21"/>
        <v>2009</v>
      </c>
      <c r="D460">
        <f t="shared" si="22"/>
        <v>4</v>
      </c>
      <c r="E460" s="7" cm="1">
        <f t="array" ref="E460">LOOKUP(12, D:D/(C:C = C460 - 1), B:B)</f>
        <v>1577.03</v>
      </c>
      <c r="F460">
        <f t="shared" si="23"/>
        <v>1.0889456763663341</v>
      </c>
    </row>
    <row r="461" spans="1:6" ht="17" x14ac:dyDescent="0.25">
      <c r="A461" s="2">
        <v>39962</v>
      </c>
      <c r="B461" s="3">
        <v>1774.33</v>
      </c>
      <c r="C461">
        <f t="shared" si="21"/>
        <v>2009</v>
      </c>
      <c r="D461">
        <f t="shared" si="22"/>
        <v>5</v>
      </c>
      <c r="E461" s="7" cm="1">
        <f t="array" ref="E461">LOOKUP(12, D:D/(C:C = C461 - 1), B:B)</f>
        <v>1577.03</v>
      </c>
      <c r="F461">
        <f t="shared" si="23"/>
        <v>1.1251085901980304</v>
      </c>
    </row>
    <row r="462" spans="1:6" ht="17" x14ac:dyDescent="0.25">
      <c r="A462" s="2">
        <v>39994</v>
      </c>
      <c r="B462" s="3">
        <v>1835.04</v>
      </c>
      <c r="C462">
        <f t="shared" si="21"/>
        <v>2009</v>
      </c>
      <c r="D462">
        <f t="shared" si="22"/>
        <v>6</v>
      </c>
      <c r="E462" s="7" cm="1">
        <f t="array" ref="E462">LOOKUP(12, D:D/(C:C = C462 - 1), B:B)</f>
        <v>1577.03</v>
      </c>
      <c r="F462">
        <f t="shared" si="23"/>
        <v>1.1636050043436079</v>
      </c>
    </row>
    <row r="463" spans="1:6" ht="17" x14ac:dyDescent="0.25">
      <c r="A463" s="2">
        <v>40025</v>
      </c>
      <c r="B463" s="3">
        <v>1978.5</v>
      </c>
      <c r="C463">
        <f t="shared" si="21"/>
        <v>2009</v>
      </c>
      <c r="D463">
        <f t="shared" si="22"/>
        <v>7</v>
      </c>
      <c r="E463" s="7" cm="1">
        <f t="array" ref="E463">LOOKUP(12, D:D/(C:C = C463 - 1), B:B)</f>
        <v>1577.03</v>
      </c>
      <c r="F463">
        <f t="shared" si="23"/>
        <v>1.2545734703842033</v>
      </c>
    </row>
    <row r="464" spans="1:6" ht="17" x14ac:dyDescent="0.25">
      <c r="A464" s="2">
        <v>40056</v>
      </c>
      <c r="B464" s="3">
        <v>2009.06</v>
      </c>
      <c r="C464">
        <f t="shared" si="21"/>
        <v>2009</v>
      </c>
      <c r="D464">
        <f t="shared" si="22"/>
        <v>8</v>
      </c>
      <c r="E464" s="7" cm="1">
        <f t="array" ref="E464">LOOKUP(12, D:D/(C:C = C464 - 1), B:B)</f>
        <v>1577.03</v>
      </c>
      <c r="F464">
        <f t="shared" si="23"/>
        <v>1.2739516686429555</v>
      </c>
    </row>
    <row r="465" spans="1:6" ht="17" x14ac:dyDescent="0.25">
      <c r="A465" s="2">
        <v>40086</v>
      </c>
      <c r="B465" s="3">
        <v>2122.42</v>
      </c>
      <c r="C465">
        <f t="shared" si="21"/>
        <v>2009</v>
      </c>
      <c r="D465">
        <f t="shared" si="22"/>
        <v>9</v>
      </c>
      <c r="E465" s="7" cm="1">
        <f t="array" ref="E465">LOOKUP(12, D:D/(C:C = C465 - 1), B:B)</f>
        <v>1577.03</v>
      </c>
      <c r="F465">
        <f t="shared" si="23"/>
        <v>1.3458336239640338</v>
      </c>
    </row>
    <row r="466" spans="1:6" ht="17" x14ac:dyDescent="0.25">
      <c r="A466" s="2">
        <v>40116</v>
      </c>
      <c r="B466" s="3">
        <v>2045.11</v>
      </c>
      <c r="C466">
        <f t="shared" si="21"/>
        <v>2009</v>
      </c>
      <c r="D466">
        <f t="shared" si="22"/>
        <v>10</v>
      </c>
      <c r="E466" s="7" cm="1">
        <f t="array" ref="E466">LOOKUP(12, D:D/(C:C = C466 - 1), B:B)</f>
        <v>1577.03</v>
      </c>
      <c r="F466">
        <f t="shared" si="23"/>
        <v>1.2968110942721445</v>
      </c>
    </row>
    <row r="467" spans="1:6" ht="17" x14ac:dyDescent="0.25">
      <c r="A467" s="2">
        <v>40147</v>
      </c>
      <c r="B467" s="3">
        <v>2144.6</v>
      </c>
      <c r="C467">
        <f t="shared" si="21"/>
        <v>2009</v>
      </c>
      <c r="D467">
        <f t="shared" si="22"/>
        <v>11</v>
      </c>
      <c r="E467" s="7" cm="1">
        <f t="array" ref="E467">LOOKUP(12, D:D/(C:C = C467 - 1), B:B)</f>
        <v>1577.03</v>
      </c>
      <c r="F467">
        <f t="shared" si="23"/>
        <v>1.3598980361819368</v>
      </c>
    </row>
    <row r="468" spans="1:6" ht="17" x14ac:dyDescent="0.25">
      <c r="A468" s="2">
        <v>40178</v>
      </c>
      <c r="B468" s="3">
        <v>2269.15</v>
      </c>
      <c r="C468">
        <f t="shared" si="21"/>
        <v>2009</v>
      </c>
      <c r="D468">
        <f t="shared" si="22"/>
        <v>12</v>
      </c>
      <c r="E468" s="7" cm="1">
        <f t="array" ref="E468">LOOKUP(12, D:D/(C:C = C468 - 1), B:B)</f>
        <v>1577.03</v>
      </c>
      <c r="F468">
        <f t="shared" si="23"/>
        <v>1.4388756079465832</v>
      </c>
    </row>
    <row r="469" spans="1:6" ht="17" x14ac:dyDescent="0.25">
      <c r="A469" s="2">
        <v>40207</v>
      </c>
      <c r="B469" s="3">
        <v>2147.35</v>
      </c>
      <c r="C469">
        <f t="shared" si="21"/>
        <v>2010</v>
      </c>
      <c r="D469">
        <f t="shared" si="22"/>
        <v>1</v>
      </c>
      <c r="E469" s="7" cm="1">
        <f t="array" ref="E469">LOOKUP(12, D:D/(C:C = C469 - 1), B:B)</f>
        <v>2269.15</v>
      </c>
      <c r="F469">
        <f t="shared" si="23"/>
        <v>0.94632351320979213</v>
      </c>
    </row>
    <row r="470" spans="1:6" ht="17" x14ac:dyDescent="0.25">
      <c r="A470" s="2">
        <v>40235</v>
      </c>
      <c r="B470" s="3">
        <v>2238.2600000000002</v>
      </c>
      <c r="C470">
        <f t="shared" si="21"/>
        <v>2010</v>
      </c>
      <c r="D470">
        <f t="shared" si="22"/>
        <v>2</v>
      </c>
      <c r="E470" s="7" cm="1">
        <f t="array" ref="E470">LOOKUP(12, D:D/(C:C = C470 - 1), B:B)</f>
        <v>2269.15</v>
      </c>
      <c r="F470">
        <f t="shared" si="23"/>
        <v>0.9863869730956526</v>
      </c>
    </row>
    <row r="471" spans="1:6" ht="17" x14ac:dyDescent="0.25">
      <c r="A471" s="2">
        <v>40268</v>
      </c>
      <c r="B471" s="3">
        <v>2397.96</v>
      </c>
      <c r="C471">
        <f t="shared" si="21"/>
        <v>2010</v>
      </c>
      <c r="D471">
        <f t="shared" si="22"/>
        <v>3</v>
      </c>
      <c r="E471" s="7" cm="1">
        <f t="array" ref="E471">LOOKUP(12, D:D/(C:C = C471 - 1), B:B)</f>
        <v>2269.15</v>
      </c>
      <c r="F471">
        <f t="shared" si="23"/>
        <v>1.0567657492893814</v>
      </c>
    </row>
    <row r="472" spans="1:6" ht="17" x14ac:dyDescent="0.25">
      <c r="A472" s="2">
        <v>40298</v>
      </c>
      <c r="B472" s="3">
        <v>2461.19</v>
      </c>
      <c r="C472">
        <f t="shared" si="21"/>
        <v>2010</v>
      </c>
      <c r="D472">
        <f t="shared" si="22"/>
        <v>4</v>
      </c>
      <c r="E472" s="7" cm="1">
        <f t="array" ref="E472">LOOKUP(12, D:D/(C:C = C472 - 1), B:B)</f>
        <v>2269.15</v>
      </c>
      <c r="F472">
        <f t="shared" si="23"/>
        <v>1.084630808893198</v>
      </c>
    </row>
    <row r="473" spans="1:6" ht="17" x14ac:dyDescent="0.25">
      <c r="A473" s="2">
        <v>40326</v>
      </c>
      <c r="B473" s="3">
        <v>2257.04</v>
      </c>
      <c r="C473">
        <f t="shared" si="21"/>
        <v>2010</v>
      </c>
      <c r="D473">
        <f t="shared" si="22"/>
        <v>5</v>
      </c>
      <c r="E473" s="7" cm="1">
        <f t="array" ref="E473">LOOKUP(12, D:D/(C:C = C473 - 1), B:B)</f>
        <v>2269.15</v>
      </c>
      <c r="F473">
        <f t="shared" si="23"/>
        <v>0.99466319987660567</v>
      </c>
    </row>
    <row r="474" spans="1:6" ht="17" x14ac:dyDescent="0.25">
      <c r="A474" s="2">
        <v>40359</v>
      </c>
      <c r="B474" s="3">
        <v>2109.2399999999998</v>
      </c>
      <c r="C474">
        <f t="shared" si="21"/>
        <v>2010</v>
      </c>
      <c r="D474">
        <f t="shared" si="22"/>
        <v>6</v>
      </c>
      <c r="E474" s="7" cm="1">
        <f t="array" ref="E474">LOOKUP(12, D:D/(C:C = C474 - 1), B:B)</f>
        <v>2269.15</v>
      </c>
      <c r="F474">
        <f t="shared" si="23"/>
        <v>0.92952867813939122</v>
      </c>
    </row>
    <row r="475" spans="1:6" ht="17" x14ac:dyDescent="0.25">
      <c r="A475" s="2">
        <v>40389</v>
      </c>
      <c r="B475" s="3">
        <v>2254.6999999999998</v>
      </c>
      <c r="C475">
        <f t="shared" si="21"/>
        <v>2010</v>
      </c>
      <c r="D475">
        <f t="shared" si="22"/>
        <v>7</v>
      </c>
      <c r="E475" s="7" cm="1">
        <f t="array" ref="E475">LOOKUP(12, D:D/(C:C = C475 - 1), B:B)</f>
        <v>2269.15</v>
      </c>
      <c r="F475">
        <f t="shared" si="23"/>
        <v>0.99363197673137504</v>
      </c>
    </row>
    <row r="476" spans="1:6" ht="17" x14ac:dyDescent="0.25">
      <c r="A476" s="2">
        <v>40421</v>
      </c>
      <c r="B476" s="3">
        <v>2114.0300000000002</v>
      </c>
      <c r="C476">
        <f t="shared" si="21"/>
        <v>2010</v>
      </c>
      <c r="D476">
        <f t="shared" si="22"/>
        <v>8</v>
      </c>
      <c r="E476" s="7" cm="1">
        <f t="array" ref="E476">LOOKUP(12, D:D/(C:C = C476 - 1), B:B)</f>
        <v>2269.15</v>
      </c>
      <c r="F476">
        <f t="shared" si="23"/>
        <v>0.9316396007315515</v>
      </c>
    </row>
    <row r="477" spans="1:6" ht="17" x14ac:dyDescent="0.25">
      <c r="A477" s="2">
        <v>40451</v>
      </c>
      <c r="B477" s="3">
        <v>2368.62</v>
      </c>
      <c r="C477">
        <f t="shared" si="21"/>
        <v>2010</v>
      </c>
      <c r="D477">
        <f t="shared" si="22"/>
        <v>9</v>
      </c>
      <c r="E477" s="7" cm="1">
        <f t="array" ref="E477">LOOKUP(12, D:D/(C:C = C477 - 1), B:B)</f>
        <v>2269.15</v>
      </c>
      <c r="F477">
        <f t="shared" si="23"/>
        <v>1.0438357975453363</v>
      </c>
    </row>
    <row r="478" spans="1:6" ht="17" x14ac:dyDescent="0.25">
      <c r="A478" s="2">
        <v>40480</v>
      </c>
      <c r="B478" s="3">
        <v>2507.41</v>
      </c>
      <c r="C478">
        <f t="shared" si="21"/>
        <v>2010</v>
      </c>
      <c r="D478">
        <f t="shared" si="22"/>
        <v>10</v>
      </c>
      <c r="E478" s="7" cm="1">
        <f t="array" ref="E478">LOOKUP(12, D:D/(C:C = C478 - 1), B:B)</f>
        <v>2269.15</v>
      </c>
      <c r="F478">
        <f t="shared" si="23"/>
        <v>1.104999669479761</v>
      </c>
    </row>
    <row r="479" spans="1:6" ht="17" x14ac:dyDescent="0.25">
      <c r="A479" s="2">
        <v>40512</v>
      </c>
      <c r="B479" s="3">
        <v>2498.23</v>
      </c>
      <c r="C479">
        <f t="shared" si="21"/>
        <v>2010</v>
      </c>
      <c r="D479">
        <f t="shared" si="22"/>
        <v>11</v>
      </c>
      <c r="E479" s="7" cm="1">
        <f t="array" ref="E479">LOOKUP(12, D:D/(C:C = C479 - 1), B:B)</f>
        <v>2269.15</v>
      </c>
      <c r="F479">
        <f t="shared" si="23"/>
        <v>1.1009541017561641</v>
      </c>
    </row>
    <row r="480" spans="1:6" ht="17" x14ac:dyDescent="0.25">
      <c r="A480" s="2">
        <v>40543</v>
      </c>
      <c r="B480" s="3">
        <v>2652.87</v>
      </c>
      <c r="C480">
        <f t="shared" si="21"/>
        <v>2010</v>
      </c>
      <c r="D480">
        <f t="shared" si="22"/>
        <v>12</v>
      </c>
      <c r="E480" s="7" cm="1">
        <f t="array" ref="E480">LOOKUP(12, D:D/(C:C = C480 - 1), B:B)</f>
        <v>2269.15</v>
      </c>
      <c r="F480">
        <f t="shared" si="23"/>
        <v>1.1691029680717449</v>
      </c>
    </row>
    <row r="481" spans="1:6" ht="17" x14ac:dyDescent="0.25">
      <c r="A481" s="2">
        <v>40574</v>
      </c>
      <c r="B481" s="3">
        <v>2700.08</v>
      </c>
      <c r="C481">
        <f t="shared" si="21"/>
        <v>2011</v>
      </c>
      <c r="D481">
        <f t="shared" si="22"/>
        <v>1</v>
      </c>
      <c r="E481" s="7" cm="1">
        <f t="array" ref="E481">LOOKUP(12, D:D/(C:C = C481 - 1), B:B)</f>
        <v>2652.87</v>
      </c>
      <c r="F481">
        <f t="shared" si="23"/>
        <v>1.017795821129569</v>
      </c>
    </row>
    <row r="482" spans="1:6" ht="17" x14ac:dyDescent="0.25">
      <c r="A482" s="2">
        <v>40602</v>
      </c>
      <c r="B482" s="3">
        <v>2782.27</v>
      </c>
      <c r="C482">
        <f t="shared" si="21"/>
        <v>2011</v>
      </c>
      <c r="D482">
        <f t="shared" si="22"/>
        <v>2</v>
      </c>
      <c r="E482" s="7" cm="1">
        <f t="array" ref="E482">LOOKUP(12, D:D/(C:C = C482 - 1), B:B)</f>
        <v>2652.87</v>
      </c>
      <c r="F482">
        <f t="shared" si="23"/>
        <v>1.0487773618760061</v>
      </c>
    </row>
    <row r="483" spans="1:6" ht="17" x14ac:dyDescent="0.25">
      <c r="A483" s="2">
        <v>40633</v>
      </c>
      <c r="B483" s="3">
        <v>2781.07</v>
      </c>
      <c r="C483">
        <f t="shared" si="21"/>
        <v>2011</v>
      </c>
      <c r="D483">
        <f t="shared" si="22"/>
        <v>3</v>
      </c>
      <c r="E483" s="7" cm="1">
        <f t="array" ref="E483">LOOKUP(12, D:D/(C:C = C483 - 1), B:B)</f>
        <v>2652.87</v>
      </c>
      <c r="F483">
        <f t="shared" si="23"/>
        <v>1.0483250215804016</v>
      </c>
    </row>
    <row r="484" spans="1:6" ht="17" x14ac:dyDescent="0.25">
      <c r="A484" s="2">
        <v>40662</v>
      </c>
      <c r="B484" s="3">
        <v>2873.54</v>
      </c>
      <c r="C484">
        <f t="shared" si="21"/>
        <v>2011</v>
      </c>
      <c r="D484">
        <f t="shared" si="22"/>
        <v>4</v>
      </c>
      <c r="E484" s="7" cm="1">
        <f t="array" ref="E484">LOOKUP(12, D:D/(C:C = C484 - 1), B:B)</f>
        <v>2652.87</v>
      </c>
      <c r="F484">
        <f t="shared" si="23"/>
        <v>1.0831816108591827</v>
      </c>
    </row>
    <row r="485" spans="1:6" ht="17" x14ac:dyDescent="0.25">
      <c r="A485" s="2">
        <v>40694</v>
      </c>
      <c r="B485" s="3">
        <v>2835.3</v>
      </c>
      <c r="C485">
        <f t="shared" si="21"/>
        <v>2011</v>
      </c>
      <c r="D485">
        <f t="shared" si="22"/>
        <v>5</v>
      </c>
      <c r="E485" s="7" cm="1">
        <f t="array" ref="E485">LOOKUP(12, D:D/(C:C = C485 - 1), B:B)</f>
        <v>2652.87</v>
      </c>
      <c r="F485">
        <f t="shared" si="23"/>
        <v>1.0687670334392565</v>
      </c>
    </row>
    <row r="486" spans="1:6" ht="17" x14ac:dyDescent="0.25">
      <c r="A486" s="2">
        <v>40724</v>
      </c>
      <c r="B486" s="3">
        <v>2773.52</v>
      </c>
      <c r="C486">
        <f t="shared" si="21"/>
        <v>2011</v>
      </c>
      <c r="D486">
        <f t="shared" si="22"/>
        <v>6</v>
      </c>
      <c r="E486" s="7" cm="1">
        <f t="array" ref="E486">LOOKUP(12, D:D/(C:C = C486 - 1), B:B)</f>
        <v>2652.87</v>
      </c>
      <c r="F486">
        <f t="shared" si="23"/>
        <v>1.0454790472205573</v>
      </c>
    </row>
    <row r="487" spans="1:6" ht="17" x14ac:dyDescent="0.25">
      <c r="A487" s="2">
        <v>40753</v>
      </c>
      <c r="B487" s="3">
        <v>2756.38</v>
      </c>
      <c r="C487">
        <f t="shared" si="21"/>
        <v>2011</v>
      </c>
      <c r="D487">
        <f t="shared" si="22"/>
        <v>7</v>
      </c>
      <c r="E487" s="7" cm="1">
        <f t="array" ref="E487">LOOKUP(12, D:D/(C:C = C487 - 1), B:B)</f>
        <v>2652.87</v>
      </c>
      <c r="F487">
        <f t="shared" si="23"/>
        <v>1.0390181199983415</v>
      </c>
    </row>
    <row r="488" spans="1:6" ht="17" x14ac:dyDescent="0.25">
      <c r="A488" s="2">
        <v>40786</v>
      </c>
      <c r="B488" s="3">
        <v>2579.46</v>
      </c>
      <c r="C488">
        <f t="shared" si="21"/>
        <v>2011</v>
      </c>
      <c r="D488">
        <f t="shared" si="22"/>
        <v>8</v>
      </c>
      <c r="E488" s="7" cm="1">
        <f t="array" ref="E488">LOOKUP(12, D:D/(C:C = C488 - 1), B:B)</f>
        <v>2652.87</v>
      </c>
      <c r="F488">
        <f t="shared" si="23"/>
        <v>0.9723280824164019</v>
      </c>
    </row>
    <row r="489" spans="1:6" ht="17" x14ac:dyDescent="0.25">
      <c r="A489" s="2">
        <v>40816</v>
      </c>
      <c r="B489" s="3">
        <v>2415.4</v>
      </c>
      <c r="C489">
        <f t="shared" si="21"/>
        <v>2011</v>
      </c>
      <c r="D489">
        <f t="shared" si="22"/>
        <v>9</v>
      </c>
      <c r="E489" s="7" cm="1">
        <f t="array" ref="E489">LOOKUP(12, D:D/(C:C = C489 - 1), B:B)</f>
        <v>2652.87</v>
      </c>
      <c r="F489">
        <f t="shared" si="23"/>
        <v>0.91048562500235597</v>
      </c>
    </row>
    <row r="490" spans="1:6" ht="17" x14ac:dyDescent="0.25">
      <c r="A490" s="2">
        <v>40847</v>
      </c>
      <c r="B490" s="3">
        <v>2684.41</v>
      </c>
      <c r="C490">
        <f t="shared" si="21"/>
        <v>2011</v>
      </c>
      <c r="D490">
        <f t="shared" si="22"/>
        <v>10</v>
      </c>
      <c r="E490" s="7" cm="1">
        <f t="array" ref="E490">LOOKUP(12, D:D/(C:C = C490 - 1), B:B)</f>
        <v>2652.87</v>
      </c>
      <c r="F490">
        <f t="shared" si="23"/>
        <v>1.0118890107694685</v>
      </c>
    </row>
    <row r="491" spans="1:6" ht="17" x14ac:dyDescent="0.25">
      <c r="A491" s="2">
        <v>40877</v>
      </c>
      <c r="B491" s="3">
        <v>2620.34</v>
      </c>
      <c r="C491">
        <f t="shared" si="21"/>
        <v>2011</v>
      </c>
      <c r="D491">
        <f t="shared" si="22"/>
        <v>11</v>
      </c>
      <c r="E491" s="7" cm="1">
        <f t="array" ref="E491">LOOKUP(12, D:D/(C:C = C491 - 1), B:B)</f>
        <v>2652.87</v>
      </c>
      <c r="F491">
        <f t="shared" si="23"/>
        <v>0.98773780848665793</v>
      </c>
    </row>
    <row r="492" spans="1:6" ht="17" x14ac:dyDescent="0.25">
      <c r="A492" s="2">
        <v>40907</v>
      </c>
      <c r="B492" s="3">
        <v>2605.15</v>
      </c>
      <c r="C492">
        <f t="shared" si="21"/>
        <v>2011</v>
      </c>
      <c r="D492">
        <f t="shared" si="22"/>
        <v>12</v>
      </c>
      <c r="E492" s="7" cm="1">
        <f t="array" ref="E492">LOOKUP(12, D:D/(C:C = C492 - 1), B:B)</f>
        <v>2652.87</v>
      </c>
      <c r="F492">
        <f t="shared" si="23"/>
        <v>0.98201193424479916</v>
      </c>
    </row>
    <row r="493" spans="1:6" ht="17" x14ac:dyDescent="0.25">
      <c r="A493" s="2">
        <v>40939</v>
      </c>
      <c r="B493" s="3">
        <v>2813.84</v>
      </c>
      <c r="C493">
        <f t="shared" si="21"/>
        <v>2012</v>
      </c>
      <c r="D493">
        <f t="shared" si="22"/>
        <v>1</v>
      </c>
      <c r="E493" s="7" cm="1">
        <f t="array" ref="E493">LOOKUP(12, D:D/(C:C = C493 - 1), B:B)</f>
        <v>2605.15</v>
      </c>
      <c r="F493">
        <f t="shared" si="23"/>
        <v>1.08010671170566</v>
      </c>
    </row>
    <row r="494" spans="1:6" ht="17" x14ac:dyDescent="0.25">
      <c r="A494" s="2">
        <v>40968</v>
      </c>
      <c r="B494" s="3">
        <v>2966.89</v>
      </c>
      <c r="C494">
        <f t="shared" si="21"/>
        <v>2012</v>
      </c>
      <c r="D494">
        <f t="shared" si="22"/>
        <v>2</v>
      </c>
      <c r="E494" s="7" cm="1">
        <f t="array" ref="E494">LOOKUP(12, D:D/(C:C = C494 - 1), B:B)</f>
        <v>2605.15</v>
      </c>
      <c r="F494">
        <f t="shared" si="23"/>
        <v>1.1388557280770779</v>
      </c>
    </row>
    <row r="495" spans="1:6" ht="17" x14ac:dyDescent="0.25">
      <c r="A495" s="2">
        <v>40998</v>
      </c>
      <c r="B495" s="3">
        <v>3091.57</v>
      </c>
      <c r="C495">
        <f t="shared" si="21"/>
        <v>2012</v>
      </c>
      <c r="D495">
        <f t="shared" si="22"/>
        <v>3</v>
      </c>
      <c r="E495" s="7" cm="1">
        <f t="array" ref="E495">LOOKUP(12, D:D/(C:C = C495 - 1), B:B)</f>
        <v>2605.15</v>
      </c>
      <c r="F495">
        <f t="shared" si="23"/>
        <v>1.1867147765003934</v>
      </c>
    </row>
    <row r="496" spans="1:6" ht="17" x14ac:dyDescent="0.25">
      <c r="A496" s="2">
        <v>41029</v>
      </c>
      <c r="B496" s="3">
        <v>3046.36</v>
      </c>
      <c r="C496">
        <f t="shared" si="21"/>
        <v>2012</v>
      </c>
      <c r="D496">
        <f t="shared" si="22"/>
        <v>4</v>
      </c>
      <c r="E496" s="7" cm="1">
        <f t="array" ref="E496">LOOKUP(12, D:D/(C:C = C496 - 1), B:B)</f>
        <v>2605.15</v>
      </c>
      <c r="F496">
        <f t="shared" si="23"/>
        <v>1.1693606894036812</v>
      </c>
    </row>
    <row r="497" spans="1:6" ht="17" x14ac:dyDescent="0.25">
      <c r="A497" s="2">
        <v>41060</v>
      </c>
      <c r="B497" s="3">
        <v>2827.34</v>
      </c>
      <c r="C497">
        <f t="shared" si="21"/>
        <v>2012</v>
      </c>
      <c r="D497">
        <f t="shared" si="22"/>
        <v>5</v>
      </c>
      <c r="E497" s="7" cm="1">
        <f t="array" ref="E497">LOOKUP(12, D:D/(C:C = C497 - 1), B:B)</f>
        <v>2605.15</v>
      </c>
      <c r="F497">
        <f t="shared" si="23"/>
        <v>1.0852887549661248</v>
      </c>
    </row>
    <row r="498" spans="1:6" ht="17" x14ac:dyDescent="0.25">
      <c r="A498" s="2">
        <v>41089</v>
      </c>
      <c r="B498" s="3">
        <v>2935.05</v>
      </c>
      <c r="C498">
        <f t="shared" si="21"/>
        <v>2012</v>
      </c>
      <c r="D498">
        <f t="shared" si="22"/>
        <v>6</v>
      </c>
      <c r="E498" s="7" cm="1">
        <f t="array" ref="E498">LOOKUP(12, D:D/(C:C = C498 - 1), B:B)</f>
        <v>2605.15</v>
      </c>
      <c r="F498">
        <f t="shared" si="23"/>
        <v>1.1266337830835076</v>
      </c>
    </row>
    <row r="499" spans="1:6" ht="17" x14ac:dyDescent="0.25">
      <c r="A499" s="2">
        <v>41121</v>
      </c>
      <c r="B499" s="3">
        <v>2939.52</v>
      </c>
      <c r="C499">
        <f t="shared" si="21"/>
        <v>2012</v>
      </c>
      <c r="D499">
        <f t="shared" si="22"/>
        <v>7</v>
      </c>
      <c r="E499" s="7" cm="1">
        <f t="array" ref="E499">LOOKUP(12, D:D/(C:C = C499 - 1), B:B)</f>
        <v>2605.15</v>
      </c>
      <c r="F499">
        <f t="shared" si="23"/>
        <v>1.1283496151853061</v>
      </c>
    </row>
    <row r="500" spans="1:6" ht="17" x14ac:dyDescent="0.25">
      <c r="A500" s="2">
        <v>41152</v>
      </c>
      <c r="B500" s="3">
        <v>3066.96</v>
      </c>
      <c r="C500">
        <f t="shared" si="21"/>
        <v>2012</v>
      </c>
      <c r="D500">
        <f t="shared" si="22"/>
        <v>8</v>
      </c>
      <c r="E500" s="7" cm="1">
        <f t="array" ref="E500">LOOKUP(12, D:D/(C:C = C500 - 1), B:B)</f>
        <v>2605.15</v>
      </c>
      <c r="F500">
        <f t="shared" si="23"/>
        <v>1.1772681035640942</v>
      </c>
    </row>
    <row r="501" spans="1:6" ht="17" x14ac:dyDescent="0.25">
      <c r="A501" s="2">
        <v>41180</v>
      </c>
      <c r="B501" s="3">
        <v>3116.23</v>
      </c>
      <c r="C501">
        <f t="shared" si="21"/>
        <v>2012</v>
      </c>
      <c r="D501">
        <f t="shared" si="22"/>
        <v>9</v>
      </c>
      <c r="E501" s="7" cm="1">
        <f t="array" ref="E501">LOOKUP(12, D:D/(C:C = C501 - 1), B:B)</f>
        <v>2605.15</v>
      </c>
      <c r="F501">
        <f t="shared" si="23"/>
        <v>1.1961806421895091</v>
      </c>
    </row>
    <row r="502" spans="1:6" ht="17" x14ac:dyDescent="0.25">
      <c r="A502" s="2">
        <v>41213</v>
      </c>
      <c r="B502" s="3">
        <v>2977.23</v>
      </c>
      <c r="C502">
        <f t="shared" si="21"/>
        <v>2012</v>
      </c>
      <c r="D502">
        <f t="shared" si="22"/>
        <v>10</v>
      </c>
      <c r="E502" s="7" cm="1">
        <f t="array" ref="E502">LOOKUP(12, D:D/(C:C = C502 - 1), B:B)</f>
        <v>2605.15</v>
      </c>
      <c r="F502">
        <f t="shared" si="23"/>
        <v>1.1428247893595378</v>
      </c>
    </row>
    <row r="503" spans="1:6" ht="17" x14ac:dyDescent="0.25">
      <c r="A503" s="2">
        <v>41243</v>
      </c>
      <c r="B503" s="3">
        <v>3010.24</v>
      </c>
      <c r="C503">
        <f t="shared" si="21"/>
        <v>2012</v>
      </c>
      <c r="D503">
        <f t="shared" si="22"/>
        <v>11</v>
      </c>
      <c r="E503" s="7" cm="1">
        <f t="array" ref="E503">LOOKUP(12, D:D/(C:C = C503 - 1), B:B)</f>
        <v>2605.15</v>
      </c>
      <c r="F503">
        <f t="shared" si="23"/>
        <v>1.1554958447690151</v>
      </c>
    </row>
    <row r="504" spans="1:6" ht="17" x14ac:dyDescent="0.25">
      <c r="A504" s="2">
        <v>41274</v>
      </c>
      <c r="B504" s="3">
        <v>3019.51</v>
      </c>
      <c r="C504">
        <f t="shared" si="21"/>
        <v>2012</v>
      </c>
      <c r="D504">
        <f t="shared" si="22"/>
        <v>12</v>
      </c>
      <c r="E504" s="7" cm="1">
        <f t="array" ref="E504">LOOKUP(12, D:D/(C:C = C504 - 1), B:B)</f>
        <v>2605.15</v>
      </c>
      <c r="F504">
        <f t="shared" si="23"/>
        <v>1.1590541811412012</v>
      </c>
    </row>
    <row r="505" spans="1:6" ht="17" x14ac:dyDescent="0.25">
      <c r="A505" s="2">
        <v>41305</v>
      </c>
      <c r="B505" s="3">
        <v>3142.13</v>
      </c>
      <c r="C505">
        <f t="shared" si="21"/>
        <v>2013</v>
      </c>
      <c r="D505">
        <f t="shared" si="22"/>
        <v>1</v>
      </c>
      <c r="E505" s="7" cm="1">
        <f t="array" ref="E505">LOOKUP(12, D:D/(C:C = C505 - 1), B:B)</f>
        <v>3019.51</v>
      </c>
      <c r="F505">
        <f t="shared" si="23"/>
        <v>1.0406092379227092</v>
      </c>
    </row>
    <row r="506" spans="1:6" ht="17" x14ac:dyDescent="0.25">
      <c r="A506" s="2">
        <v>41333</v>
      </c>
      <c r="B506" s="3">
        <v>3160.19</v>
      </c>
      <c r="C506">
        <f t="shared" si="21"/>
        <v>2013</v>
      </c>
      <c r="D506">
        <f t="shared" si="22"/>
        <v>2</v>
      </c>
      <c r="E506" s="7" cm="1">
        <f t="array" ref="E506">LOOKUP(12, D:D/(C:C = C506 - 1), B:B)</f>
        <v>3019.51</v>
      </c>
      <c r="F506">
        <f t="shared" si="23"/>
        <v>1.0465903408168875</v>
      </c>
    </row>
    <row r="507" spans="1:6" ht="17" x14ac:dyDescent="0.25">
      <c r="A507" s="2">
        <v>41361</v>
      </c>
      <c r="B507" s="3">
        <v>3267.52</v>
      </c>
      <c r="C507">
        <f t="shared" si="21"/>
        <v>2013</v>
      </c>
      <c r="D507">
        <f t="shared" si="22"/>
        <v>3</v>
      </c>
      <c r="E507" s="7" cm="1">
        <f t="array" ref="E507">LOOKUP(12, D:D/(C:C = C507 - 1), B:B)</f>
        <v>3019.51</v>
      </c>
      <c r="F507">
        <f t="shared" si="23"/>
        <v>1.0821358432328423</v>
      </c>
    </row>
    <row r="508" spans="1:6" ht="17" x14ac:dyDescent="0.25">
      <c r="A508" s="2">
        <v>41394</v>
      </c>
      <c r="B508" s="3">
        <v>3328.79</v>
      </c>
      <c r="C508">
        <f t="shared" si="21"/>
        <v>2013</v>
      </c>
      <c r="D508">
        <f t="shared" si="22"/>
        <v>4</v>
      </c>
      <c r="E508" s="7" cm="1">
        <f t="array" ref="E508">LOOKUP(12, D:D/(C:C = C508 - 1), B:B)</f>
        <v>3019.51</v>
      </c>
      <c r="F508">
        <f t="shared" si="23"/>
        <v>1.1024272150117072</v>
      </c>
    </row>
    <row r="509" spans="1:6" ht="17" x14ac:dyDescent="0.25">
      <c r="A509" s="2">
        <v>41425</v>
      </c>
      <c r="B509" s="3">
        <v>3455.91</v>
      </c>
      <c r="C509">
        <f t="shared" si="21"/>
        <v>2013</v>
      </c>
      <c r="D509">
        <f t="shared" si="22"/>
        <v>5</v>
      </c>
      <c r="E509" s="7" cm="1">
        <f t="array" ref="E509">LOOKUP(12, D:D/(C:C = C509 - 1), B:B)</f>
        <v>3019.51</v>
      </c>
      <c r="F509">
        <f t="shared" si="23"/>
        <v>1.1445267609645273</v>
      </c>
    </row>
    <row r="510" spans="1:6" ht="17" x14ac:dyDescent="0.25">
      <c r="A510" s="2">
        <v>41453</v>
      </c>
      <c r="B510" s="3">
        <v>3403.25</v>
      </c>
      <c r="C510">
        <f t="shared" si="21"/>
        <v>2013</v>
      </c>
      <c r="D510">
        <f t="shared" si="22"/>
        <v>6</v>
      </c>
      <c r="E510" s="7" cm="1">
        <f t="array" ref="E510">LOOKUP(12, D:D/(C:C = C510 - 1), B:B)</f>
        <v>3019.51</v>
      </c>
      <c r="F510">
        <f t="shared" si="23"/>
        <v>1.1270868452166078</v>
      </c>
    </row>
    <row r="511" spans="1:6" ht="17" x14ac:dyDescent="0.25">
      <c r="A511" s="2">
        <v>41486</v>
      </c>
      <c r="B511" s="3">
        <v>3626.37</v>
      </c>
      <c r="C511">
        <f t="shared" si="21"/>
        <v>2013</v>
      </c>
      <c r="D511">
        <f t="shared" si="22"/>
        <v>7</v>
      </c>
      <c r="E511" s="7" cm="1">
        <f t="array" ref="E511">LOOKUP(12, D:D/(C:C = C511 - 1), B:B)</f>
        <v>3019.51</v>
      </c>
      <c r="F511">
        <f t="shared" si="23"/>
        <v>1.200979629145126</v>
      </c>
    </row>
    <row r="512" spans="1:6" ht="17" x14ac:dyDescent="0.25">
      <c r="A512" s="2">
        <v>41516</v>
      </c>
      <c r="B512" s="3">
        <v>3589.87</v>
      </c>
      <c r="C512">
        <f t="shared" si="21"/>
        <v>2013</v>
      </c>
      <c r="D512">
        <f t="shared" si="22"/>
        <v>8</v>
      </c>
      <c r="E512" s="7" cm="1">
        <f t="array" ref="E512">LOOKUP(12, D:D/(C:C = C512 - 1), B:B)</f>
        <v>3019.51</v>
      </c>
      <c r="F512">
        <f t="shared" si="23"/>
        <v>1.1888915751231159</v>
      </c>
    </row>
    <row r="513" spans="1:6" ht="17" x14ac:dyDescent="0.25">
      <c r="A513" s="2">
        <v>41547</v>
      </c>
      <c r="B513" s="3">
        <v>3771.48</v>
      </c>
      <c r="C513">
        <f t="shared" si="21"/>
        <v>2013</v>
      </c>
      <c r="D513">
        <f t="shared" si="22"/>
        <v>9</v>
      </c>
      <c r="E513" s="7" cm="1">
        <f t="array" ref="E513">LOOKUP(12, D:D/(C:C = C513 - 1), B:B)</f>
        <v>3019.51</v>
      </c>
      <c r="F513">
        <f t="shared" si="23"/>
        <v>1.2490370954227672</v>
      </c>
    </row>
    <row r="514" spans="1:6" ht="17" x14ac:dyDescent="0.25">
      <c r="A514" s="2">
        <v>41578</v>
      </c>
      <c r="B514" s="3">
        <v>3919.71</v>
      </c>
      <c r="C514">
        <f t="shared" ref="C514:C577" si="24">YEAR(A514)</f>
        <v>2013</v>
      </c>
      <c r="D514">
        <f t="shared" ref="D514:D577" si="25">MONTH(A514)</f>
        <v>10</v>
      </c>
      <c r="E514" s="7" cm="1">
        <f t="array" ref="E514">LOOKUP(12, D:D/(C:C = C514 - 1), B:B)</f>
        <v>3019.51</v>
      </c>
      <c r="F514">
        <f t="shared" si="23"/>
        <v>1.2981278419346185</v>
      </c>
    </row>
    <row r="515" spans="1:6" ht="17" x14ac:dyDescent="0.25">
      <c r="A515" s="2">
        <v>41607</v>
      </c>
      <c r="B515" s="3">
        <v>4059.89</v>
      </c>
      <c r="C515">
        <f t="shared" si="24"/>
        <v>2013</v>
      </c>
      <c r="D515">
        <f t="shared" si="25"/>
        <v>11</v>
      </c>
      <c r="E515" s="7" cm="1">
        <f t="array" ref="E515">LOOKUP(12, D:D/(C:C = C515 - 1), B:B)</f>
        <v>3019.51</v>
      </c>
      <c r="F515">
        <f t="shared" ref="F515:F578" si="26">B515/E515</f>
        <v>1.3445525929703825</v>
      </c>
    </row>
    <row r="516" spans="1:6" ht="17" x14ac:dyDescent="0.25">
      <c r="A516" s="2">
        <v>41639</v>
      </c>
      <c r="B516" s="3">
        <v>4176.59</v>
      </c>
      <c r="C516">
        <f t="shared" si="24"/>
        <v>2013</v>
      </c>
      <c r="D516">
        <f t="shared" si="25"/>
        <v>12</v>
      </c>
      <c r="E516" s="7" cm="1">
        <f t="array" ref="E516">LOOKUP(12, D:D/(C:C = C516 - 1), B:B)</f>
        <v>3019.51</v>
      </c>
      <c r="F516">
        <f t="shared" si="26"/>
        <v>1.3832012478845905</v>
      </c>
    </row>
    <row r="517" spans="1:6" ht="17" x14ac:dyDescent="0.25">
      <c r="A517" s="2">
        <v>41670</v>
      </c>
      <c r="B517" s="3">
        <v>4103.88</v>
      </c>
      <c r="C517">
        <f t="shared" si="24"/>
        <v>2014</v>
      </c>
      <c r="D517">
        <f t="shared" si="25"/>
        <v>1</v>
      </c>
      <c r="E517" s="7" cm="1">
        <f t="array" ref="E517">LOOKUP(12, D:D/(C:C = C517 - 1), B:B)</f>
        <v>4176.59</v>
      </c>
      <c r="F517">
        <f t="shared" si="26"/>
        <v>0.98259106112881556</v>
      </c>
    </row>
    <row r="518" spans="1:6" ht="17" x14ac:dyDescent="0.25">
      <c r="A518" s="2">
        <v>41698</v>
      </c>
      <c r="B518" s="3">
        <v>4308.12</v>
      </c>
      <c r="C518">
        <f t="shared" si="24"/>
        <v>2014</v>
      </c>
      <c r="D518">
        <f t="shared" si="25"/>
        <v>2</v>
      </c>
      <c r="E518" s="7" cm="1">
        <f t="array" ref="E518">LOOKUP(12, D:D/(C:C = C518 - 1), B:B)</f>
        <v>4176.59</v>
      </c>
      <c r="F518">
        <f t="shared" si="26"/>
        <v>1.0314921981808125</v>
      </c>
    </row>
    <row r="519" spans="1:6" ht="17" x14ac:dyDescent="0.25">
      <c r="A519" s="2">
        <v>41729</v>
      </c>
      <c r="B519" s="3">
        <v>4198.99</v>
      </c>
      <c r="C519">
        <f t="shared" si="24"/>
        <v>2014</v>
      </c>
      <c r="D519">
        <f t="shared" si="25"/>
        <v>3</v>
      </c>
      <c r="E519" s="7" cm="1">
        <f t="array" ref="E519">LOOKUP(12, D:D/(C:C = C519 - 1), B:B)</f>
        <v>4176.59</v>
      </c>
      <c r="F519">
        <f t="shared" si="26"/>
        <v>1.0053632269387227</v>
      </c>
    </row>
    <row r="520" spans="1:6" ht="17" x14ac:dyDescent="0.25">
      <c r="A520" s="2">
        <v>41759</v>
      </c>
      <c r="B520" s="3">
        <v>4114.5600000000004</v>
      </c>
      <c r="C520">
        <f t="shared" si="24"/>
        <v>2014</v>
      </c>
      <c r="D520">
        <f t="shared" si="25"/>
        <v>4</v>
      </c>
      <c r="E520" s="7" cm="1">
        <f t="array" ref="E520">LOOKUP(12, D:D/(C:C = C520 - 1), B:B)</f>
        <v>4176.59</v>
      </c>
      <c r="F520">
        <f t="shared" si="26"/>
        <v>0.98514817111567099</v>
      </c>
    </row>
    <row r="521" spans="1:6" ht="17" x14ac:dyDescent="0.25">
      <c r="A521" s="2">
        <v>41789</v>
      </c>
      <c r="B521" s="3">
        <v>4242.62</v>
      </c>
      <c r="C521">
        <f t="shared" si="24"/>
        <v>2014</v>
      </c>
      <c r="D521">
        <f t="shared" si="25"/>
        <v>5</v>
      </c>
      <c r="E521" s="7" cm="1">
        <f t="array" ref="E521">LOOKUP(12, D:D/(C:C = C521 - 1), B:B)</f>
        <v>4176.59</v>
      </c>
      <c r="F521">
        <f t="shared" si="26"/>
        <v>1.0158095479805296</v>
      </c>
    </row>
    <row r="522" spans="1:6" ht="17" x14ac:dyDescent="0.25">
      <c r="A522" s="2">
        <v>41820</v>
      </c>
      <c r="B522" s="3">
        <v>4408.18</v>
      </c>
      <c r="C522">
        <f t="shared" si="24"/>
        <v>2014</v>
      </c>
      <c r="D522">
        <f t="shared" si="25"/>
        <v>6</v>
      </c>
      <c r="E522" s="7" cm="1">
        <f t="array" ref="E522">LOOKUP(12, D:D/(C:C = C522 - 1), B:B)</f>
        <v>4176.59</v>
      </c>
      <c r="F522">
        <f t="shared" si="26"/>
        <v>1.0554495413722678</v>
      </c>
    </row>
    <row r="523" spans="1:6" ht="17" x14ac:dyDescent="0.25">
      <c r="A523" s="2">
        <v>41851</v>
      </c>
      <c r="B523" s="3">
        <v>4369.7700000000004</v>
      </c>
      <c r="C523">
        <f t="shared" si="24"/>
        <v>2014</v>
      </c>
      <c r="D523">
        <f t="shared" si="25"/>
        <v>7</v>
      </c>
      <c r="E523" s="7" cm="1">
        <f t="array" ref="E523">LOOKUP(12, D:D/(C:C = C523 - 1), B:B)</f>
        <v>4176.59</v>
      </c>
      <c r="F523">
        <f t="shared" si="26"/>
        <v>1.0462530437510027</v>
      </c>
    </row>
    <row r="524" spans="1:6" ht="17" x14ac:dyDescent="0.25">
      <c r="A524" s="2">
        <v>41880</v>
      </c>
      <c r="B524" s="3">
        <v>4580.2700000000004</v>
      </c>
      <c r="C524">
        <f t="shared" si="24"/>
        <v>2014</v>
      </c>
      <c r="D524">
        <f t="shared" si="25"/>
        <v>8</v>
      </c>
      <c r="E524" s="7" cm="1">
        <f t="array" ref="E524">LOOKUP(12, D:D/(C:C = C524 - 1), B:B)</f>
        <v>4176.59</v>
      </c>
      <c r="F524">
        <f t="shared" si="26"/>
        <v>1.0966530111885535</v>
      </c>
    </row>
    <row r="525" spans="1:6" ht="17" x14ac:dyDescent="0.25">
      <c r="A525" s="2">
        <v>41912</v>
      </c>
      <c r="B525" s="3">
        <v>4493.3900000000003</v>
      </c>
      <c r="C525">
        <f t="shared" si="24"/>
        <v>2014</v>
      </c>
      <c r="D525">
        <f t="shared" si="25"/>
        <v>9</v>
      </c>
      <c r="E525" s="7" cm="1">
        <f t="array" ref="E525">LOOKUP(12, D:D/(C:C = C525 - 1), B:B)</f>
        <v>4176.59</v>
      </c>
      <c r="F525">
        <f t="shared" si="26"/>
        <v>1.0758513524190787</v>
      </c>
    </row>
    <row r="526" spans="1:6" ht="17" x14ac:dyDescent="0.25">
      <c r="A526" s="2">
        <v>41943</v>
      </c>
      <c r="B526" s="3">
        <v>4630.74</v>
      </c>
      <c r="C526">
        <f t="shared" si="24"/>
        <v>2014</v>
      </c>
      <c r="D526">
        <f t="shared" si="25"/>
        <v>10</v>
      </c>
      <c r="E526" s="7" cm="1">
        <f t="array" ref="E526">LOOKUP(12, D:D/(C:C = C526 - 1), B:B)</f>
        <v>4176.59</v>
      </c>
      <c r="F526">
        <f t="shared" si="26"/>
        <v>1.1087370318848628</v>
      </c>
    </row>
    <row r="527" spans="1:6" ht="17" x14ac:dyDescent="0.25">
      <c r="A527" s="2">
        <v>41971</v>
      </c>
      <c r="B527" s="3">
        <v>4791.63</v>
      </c>
      <c r="C527">
        <f t="shared" si="24"/>
        <v>2014</v>
      </c>
      <c r="D527">
        <f t="shared" si="25"/>
        <v>11</v>
      </c>
      <c r="E527" s="7" cm="1">
        <f t="array" ref="E527">LOOKUP(12, D:D/(C:C = C527 - 1), B:B)</f>
        <v>4176.59</v>
      </c>
      <c r="F527">
        <f t="shared" si="26"/>
        <v>1.1472588882317871</v>
      </c>
    </row>
    <row r="528" spans="1:6" ht="17" x14ac:dyDescent="0.25">
      <c r="A528" s="2">
        <v>42004</v>
      </c>
      <c r="B528" s="3">
        <v>4736.05</v>
      </c>
      <c r="C528">
        <f t="shared" si="24"/>
        <v>2014</v>
      </c>
      <c r="D528">
        <f t="shared" si="25"/>
        <v>12</v>
      </c>
      <c r="E528" s="7" cm="1">
        <f t="array" ref="E528">LOOKUP(12, D:D/(C:C = C528 - 1), B:B)</f>
        <v>4176.59</v>
      </c>
      <c r="F528">
        <f t="shared" si="26"/>
        <v>1.1339513813900814</v>
      </c>
    </row>
    <row r="529" spans="1:6" ht="17" x14ac:dyDescent="0.25">
      <c r="A529" s="2">
        <v>42034</v>
      </c>
      <c r="B529" s="3">
        <v>4635.24</v>
      </c>
      <c r="C529">
        <f t="shared" si="24"/>
        <v>2015</v>
      </c>
      <c r="D529">
        <f t="shared" si="25"/>
        <v>1</v>
      </c>
      <c r="E529" s="7" cm="1">
        <f t="array" ref="E529">LOOKUP(12, D:D/(C:C = C529 - 1), B:B)</f>
        <v>4736.05</v>
      </c>
      <c r="F529">
        <f t="shared" si="26"/>
        <v>0.97871432945175829</v>
      </c>
    </row>
    <row r="530" spans="1:6" ht="17" x14ac:dyDescent="0.25">
      <c r="A530" s="2">
        <v>42062</v>
      </c>
      <c r="B530" s="3">
        <v>4963.53</v>
      </c>
      <c r="C530">
        <f t="shared" si="24"/>
        <v>2015</v>
      </c>
      <c r="D530">
        <f t="shared" si="25"/>
        <v>2</v>
      </c>
      <c r="E530" s="7" cm="1">
        <f t="array" ref="E530">LOOKUP(12, D:D/(C:C = C530 - 1), B:B)</f>
        <v>4736.05</v>
      </c>
      <c r="F530">
        <f t="shared" si="26"/>
        <v>1.0480315875043549</v>
      </c>
    </row>
    <row r="531" spans="1:6" ht="17" x14ac:dyDescent="0.25">
      <c r="A531" s="2">
        <v>42094</v>
      </c>
      <c r="B531" s="3">
        <v>4900.88</v>
      </c>
      <c r="C531">
        <f t="shared" si="24"/>
        <v>2015</v>
      </c>
      <c r="D531">
        <f t="shared" si="25"/>
        <v>3</v>
      </c>
      <c r="E531" s="7" cm="1">
        <f t="array" ref="E531">LOOKUP(12, D:D/(C:C = C531 - 1), B:B)</f>
        <v>4736.05</v>
      </c>
      <c r="F531">
        <f t="shared" si="26"/>
        <v>1.0348032643236451</v>
      </c>
    </row>
    <row r="532" spans="1:6" ht="17" x14ac:dyDescent="0.25">
      <c r="A532" s="2">
        <v>42124</v>
      </c>
      <c r="B532" s="3">
        <v>4941.42</v>
      </c>
      <c r="C532">
        <f t="shared" si="24"/>
        <v>2015</v>
      </c>
      <c r="D532">
        <f t="shared" si="25"/>
        <v>4</v>
      </c>
      <c r="E532" s="7" cm="1">
        <f t="array" ref="E532">LOOKUP(12, D:D/(C:C = C532 - 1), B:B)</f>
        <v>4736.05</v>
      </c>
      <c r="F532">
        <f t="shared" si="26"/>
        <v>1.0433631401695505</v>
      </c>
    </row>
    <row r="533" spans="1:6" ht="17" x14ac:dyDescent="0.25">
      <c r="A533" s="2">
        <v>42153</v>
      </c>
      <c r="B533" s="3">
        <v>5070.0259999999998</v>
      </c>
      <c r="C533">
        <f t="shared" si="24"/>
        <v>2015</v>
      </c>
      <c r="D533">
        <f t="shared" si="25"/>
        <v>5</v>
      </c>
      <c r="E533" s="7" cm="1">
        <f t="array" ref="E533">LOOKUP(12, D:D/(C:C = C533 - 1), B:B)</f>
        <v>4736.05</v>
      </c>
      <c r="F533">
        <f t="shared" si="26"/>
        <v>1.070517836593786</v>
      </c>
    </row>
    <row r="534" spans="1:6" ht="17" x14ac:dyDescent="0.25">
      <c r="A534" s="2">
        <v>42185</v>
      </c>
      <c r="B534" s="3">
        <v>4986.8670000000002</v>
      </c>
      <c r="C534">
        <f t="shared" si="24"/>
        <v>2015</v>
      </c>
      <c r="D534">
        <f t="shared" si="25"/>
        <v>6</v>
      </c>
      <c r="E534" s="7" cm="1">
        <f t="array" ref="E534">LOOKUP(12, D:D/(C:C = C534 - 1), B:B)</f>
        <v>4736.05</v>
      </c>
      <c r="F534">
        <f t="shared" si="26"/>
        <v>1.0529591114958667</v>
      </c>
    </row>
    <row r="535" spans="1:6" ht="17" x14ac:dyDescent="0.25">
      <c r="A535" s="2">
        <v>42216</v>
      </c>
      <c r="B535" s="3">
        <v>5128.2809999999999</v>
      </c>
      <c r="C535">
        <f t="shared" si="24"/>
        <v>2015</v>
      </c>
      <c r="D535">
        <f t="shared" si="25"/>
        <v>7</v>
      </c>
      <c r="E535" s="7" cm="1">
        <f t="array" ref="E535">LOOKUP(12, D:D/(C:C = C535 - 1), B:B)</f>
        <v>4736.05</v>
      </c>
      <c r="F535">
        <f t="shared" si="26"/>
        <v>1.0828181712608609</v>
      </c>
    </row>
    <row r="536" spans="1:6" ht="17" x14ac:dyDescent="0.25">
      <c r="A536" s="2">
        <v>42247</v>
      </c>
      <c r="B536" s="3">
        <v>4776.5079999999998</v>
      </c>
      <c r="C536">
        <f t="shared" si="24"/>
        <v>2015</v>
      </c>
      <c r="D536">
        <f t="shared" si="25"/>
        <v>8</v>
      </c>
      <c r="E536" s="7" cm="1">
        <f t="array" ref="E536">LOOKUP(12, D:D/(C:C = C536 - 1), B:B)</f>
        <v>4736.05</v>
      </c>
      <c r="F536">
        <f t="shared" si="26"/>
        <v>1.0085425618395076</v>
      </c>
    </row>
    <row r="537" spans="1:6" ht="17" x14ac:dyDescent="0.25">
      <c r="A537" s="2">
        <v>42277</v>
      </c>
      <c r="B537" s="3">
        <v>4620.165</v>
      </c>
      <c r="C537">
        <f t="shared" si="24"/>
        <v>2015</v>
      </c>
      <c r="D537">
        <f t="shared" si="25"/>
        <v>9</v>
      </c>
      <c r="E537" s="7" cm="1">
        <f t="array" ref="E537">LOOKUP(12, D:D/(C:C = C537 - 1), B:B)</f>
        <v>4736.05</v>
      </c>
      <c r="F537">
        <f t="shared" si="26"/>
        <v>0.97553129717802811</v>
      </c>
    </row>
    <row r="538" spans="1:6" ht="17" x14ac:dyDescent="0.25">
      <c r="A538" s="2">
        <v>42307</v>
      </c>
      <c r="B538" s="3">
        <v>5053.7489999999998</v>
      </c>
      <c r="C538">
        <f t="shared" si="24"/>
        <v>2015</v>
      </c>
      <c r="D538">
        <f t="shared" si="25"/>
        <v>10</v>
      </c>
      <c r="E538" s="7" cm="1">
        <f t="array" ref="E538">LOOKUP(12, D:D/(C:C = C538 - 1), B:B)</f>
        <v>4736.05</v>
      </c>
      <c r="F538">
        <f t="shared" si="26"/>
        <v>1.0670810063238352</v>
      </c>
    </row>
    <row r="539" spans="1:6" ht="17" x14ac:dyDescent="0.25">
      <c r="A539" s="2">
        <v>42338</v>
      </c>
      <c r="B539" s="3">
        <v>5108.6660000000002</v>
      </c>
      <c r="C539">
        <f t="shared" si="24"/>
        <v>2015</v>
      </c>
      <c r="D539">
        <f t="shared" si="25"/>
        <v>11</v>
      </c>
      <c r="E539" s="7" cm="1">
        <f t="array" ref="E539">LOOKUP(12, D:D/(C:C = C539 - 1), B:B)</f>
        <v>4736.05</v>
      </c>
      <c r="F539">
        <f t="shared" si="26"/>
        <v>1.0786765342426705</v>
      </c>
    </row>
    <row r="540" spans="1:6" ht="17" x14ac:dyDescent="0.25">
      <c r="A540" s="2">
        <v>42369</v>
      </c>
      <c r="B540" s="3">
        <v>5007.4120000000003</v>
      </c>
      <c r="C540">
        <f t="shared" si="24"/>
        <v>2015</v>
      </c>
      <c r="D540">
        <f t="shared" si="25"/>
        <v>12</v>
      </c>
      <c r="E540" s="7" cm="1">
        <f t="array" ref="E540">LOOKUP(12, D:D/(C:C = C540 - 1), B:B)</f>
        <v>4736.05</v>
      </c>
      <c r="F540">
        <f t="shared" si="26"/>
        <v>1.0572971146841779</v>
      </c>
    </row>
    <row r="541" spans="1:6" ht="17" x14ac:dyDescent="0.25">
      <c r="A541" s="2">
        <v>42398</v>
      </c>
      <c r="B541" s="3">
        <v>4613.9530000000004</v>
      </c>
      <c r="C541">
        <f t="shared" si="24"/>
        <v>2016</v>
      </c>
      <c r="D541">
        <f t="shared" si="25"/>
        <v>1</v>
      </c>
      <c r="E541" s="7" cm="1">
        <f t="array" ref="E541">LOOKUP(12, D:D/(C:C = C541 - 1), B:B)</f>
        <v>5007.4120000000003</v>
      </c>
      <c r="F541">
        <f t="shared" si="26"/>
        <v>0.92142468005428757</v>
      </c>
    </row>
    <row r="542" spans="1:6" ht="17" x14ac:dyDescent="0.25">
      <c r="A542" s="2">
        <v>42429</v>
      </c>
      <c r="B542" s="3">
        <v>4557.95</v>
      </c>
      <c r="C542">
        <f t="shared" si="24"/>
        <v>2016</v>
      </c>
      <c r="D542">
        <f t="shared" si="25"/>
        <v>2</v>
      </c>
      <c r="E542" s="7" cm="1">
        <f t="array" ref="E542">LOOKUP(12, D:D/(C:C = C542 - 1), B:B)</f>
        <v>5007.4120000000003</v>
      </c>
      <c r="F542">
        <f t="shared" si="26"/>
        <v>0.91024065924673259</v>
      </c>
    </row>
    <row r="543" spans="1:6" ht="17" x14ac:dyDescent="0.25">
      <c r="A543" s="2">
        <v>42460</v>
      </c>
      <c r="B543" s="3">
        <v>4869.848</v>
      </c>
      <c r="C543">
        <f t="shared" si="24"/>
        <v>2016</v>
      </c>
      <c r="D543">
        <f t="shared" si="25"/>
        <v>3</v>
      </c>
      <c r="E543" s="7" cm="1">
        <f t="array" ref="E543">LOOKUP(12, D:D/(C:C = C543 - 1), B:B)</f>
        <v>5007.4120000000003</v>
      </c>
      <c r="F543">
        <f t="shared" si="26"/>
        <v>0.97252792460456616</v>
      </c>
    </row>
    <row r="544" spans="1:6" ht="17" x14ac:dyDescent="0.25">
      <c r="A544" s="2">
        <v>42489</v>
      </c>
      <c r="B544" s="3">
        <v>4775.3580000000002</v>
      </c>
      <c r="C544">
        <f t="shared" si="24"/>
        <v>2016</v>
      </c>
      <c r="D544">
        <f t="shared" si="25"/>
        <v>4</v>
      </c>
      <c r="E544" s="7" cm="1">
        <f t="array" ref="E544">LOOKUP(12, D:D/(C:C = C544 - 1), B:B)</f>
        <v>5007.4120000000003</v>
      </c>
      <c r="F544">
        <f t="shared" si="26"/>
        <v>0.95365789753269747</v>
      </c>
    </row>
    <row r="545" spans="1:6" ht="17" x14ac:dyDescent="0.25">
      <c r="A545" s="2">
        <v>42521</v>
      </c>
      <c r="B545" s="3">
        <v>4948.0550000000003</v>
      </c>
      <c r="C545">
        <f t="shared" si="24"/>
        <v>2016</v>
      </c>
      <c r="D545">
        <f t="shared" si="25"/>
        <v>5</v>
      </c>
      <c r="E545" s="7" cm="1">
        <f t="array" ref="E545">LOOKUP(12, D:D/(C:C = C545 - 1), B:B)</f>
        <v>5007.4120000000003</v>
      </c>
      <c r="F545">
        <f t="shared" si="26"/>
        <v>0.98814617211445754</v>
      </c>
    </row>
    <row r="546" spans="1:6" ht="17" x14ac:dyDescent="0.25">
      <c r="A546" s="2">
        <v>42551</v>
      </c>
      <c r="B546" s="3">
        <v>4842.6719999999996</v>
      </c>
      <c r="C546">
        <f t="shared" si="24"/>
        <v>2016</v>
      </c>
      <c r="D546">
        <f t="shared" si="25"/>
        <v>6</v>
      </c>
      <c r="E546" s="7" cm="1">
        <f t="array" ref="E546">LOOKUP(12, D:D/(C:C = C546 - 1), B:B)</f>
        <v>5007.4120000000003</v>
      </c>
      <c r="F546">
        <f t="shared" si="26"/>
        <v>0.96710076981882043</v>
      </c>
    </row>
    <row r="547" spans="1:6" ht="17" x14ac:dyDescent="0.25">
      <c r="A547" s="2">
        <v>42580</v>
      </c>
      <c r="B547" s="3">
        <v>5162.1310000000003</v>
      </c>
      <c r="C547">
        <f t="shared" si="24"/>
        <v>2016</v>
      </c>
      <c r="D547">
        <f t="shared" si="25"/>
        <v>7</v>
      </c>
      <c r="E547" s="7" cm="1">
        <f t="array" ref="E547">LOOKUP(12, D:D/(C:C = C547 - 1), B:B)</f>
        <v>5007.4120000000003</v>
      </c>
      <c r="F547">
        <f t="shared" si="26"/>
        <v>1.0308979968095295</v>
      </c>
    </row>
    <row r="548" spans="1:6" ht="17" x14ac:dyDescent="0.25">
      <c r="A548" s="2">
        <v>42613</v>
      </c>
      <c r="B548" s="3">
        <v>5213.2190000000001</v>
      </c>
      <c r="C548">
        <f t="shared" si="24"/>
        <v>2016</v>
      </c>
      <c r="D548">
        <f t="shared" si="25"/>
        <v>8</v>
      </c>
      <c r="E548" s="7" cm="1">
        <f t="array" ref="E548">LOOKUP(12, D:D/(C:C = C548 - 1), B:B)</f>
        <v>5007.4120000000003</v>
      </c>
      <c r="F548">
        <f t="shared" si="26"/>
        <v>1.0411004726593298</v>
      </c>
    </row>
    <row r="549" spans="1:6" ht="17" x14ac:dyDescent="0.25">
      <c r="A549" s="2">
        <v>42643</v>
      </c>
      <c r="B549" s="3">
        <v>5312.0020000000004</v>
      </c>
      <c r="C549">
        <f t="shared" si="24"/>
        <v>2016</v>
      </c>
      <c r="D549">
        <f t="shared" si="25"/>
        <v>9</v>
      </c>
      <c r="E549" s="7" cm="1">
        <f t="array" ref="E549">LOOKUP(12, D:D/(C:C = C549 - 1), B:B)</f>
        <v>5007.4120000000003</v>
      </c>
      <c r="F549">
        <f t="shared" si="26"/>
        <v>1.0608278288265476</v>
      </c>
    </row>
    <row r="550" spans="1:6" ht="17" x14ac:dyDescent="0.25">
      <c r="A550" s="2">
        <v>42674</v>
      </c>
      <c r="B550" s="3">
        <v>5189.1350000000002</v>
      </c>
      <c r="C550">
        <f t="shared" si="24"/>
        <v>2016</v>
      </c>
      <c r="D550">
        <f t="shared" si="25"/>
        <v>10</v>
      </c>
      <c r="E550" s="7" cm="1">
        <f t="array" ref="E550">LOOKUP(12, D:D/(C:C = C550 - 1), B:B)</f>
        <v>5007.4120000000003</v>
      </c>
      <c r="F550">
        <f t="shared" si="26"/>
        <v>1.0362908025143527</v>
      </c>
    </row>
    <row r="551" spans="1:6" ht="17" x14ac:dyDescent="0.25">
      <c r="A551" s="2">
        <v>42704</v>
      </c>
      <c r="B551" s="3">
        <v>5323.6809999999996</v>
      </c>
      <c r="C551">
        <f t="shared" si="24"/>
        <v>2016</v>
      </c>
      <c r="D551">
        <f t="shared" si="25"/>
        <v>11</v>
      </c>
      <c r="E551" s="7" cm="1">
        <f t="array" ref="E551">LOOKUP(12, D:D/(C:C = C551 - 1), B:B)</f>
        <v>5007.4120000000003</v>
      </c>
      <c r="F551">
        <f t="shared" si="26"/>
        <v>1.0631601713619729</v>
      </c>
    </row>
    <row r="552" spans="1:6" ht="17" x14ac:dyDescent="0.25">
      <c r="A552" s="2">
        <v>42734</v>
      </c>
      <c r="B552" s="3">
        <v>5383.1170000000002</v>
      </c>
      <c r="C552">
        <f t="shared" si="24"/>
        <v>2016</v>
      </c>
      <c r="D552">
        <f t="shared" si="25"/>
        <v>12</v>
      </c>
      <c r="E552" s="7" cm="1">
        <f t="array" ref="E552">LOOKUP(12, D:D/(C:C = C552 - 1), B:B)</f>
        <v>5007.4120000000003</v>
      </c>
      <c r="F552">
        <f t="shared" si="26"/>
        <v>1.0750297758602647</v>
      </c>
    </row>
    <row r="553" spans="1:6" ht="17" x14ac:dyDescent="0.25">
      <c r="A553" s="2">
        <v>42766</v>
      </c>
      <c r="B553" s="3">
        <v>5614.7860000000001</v>
      </c>
      <c r="C553">
        <f t="shared" si="24"/>
        <v>2017</v>
      </c>
      <c r="D553">
        <f t="shared" si="25"/>
        <v>1</v>
      </c>
      <c r="E553" s="7" cm="1">
        <f t="array" ref="E553">LOOKUP(12, D:D/(C:C = C553 - 1), B:B)</f>
        <v>5383.1170000000002</v>
      </c>
      <c r="F553">
        <f t="shared" si="26"/>
        <v>1.0430362186071749</v>
      </c>
    </row>
    <row r="554" spans="1:6" ht="17" x14ac:dyDescent="0.25">
      <c r="A554" s="2">
        <v>42794</v>
      </c>
      <c r="B554" s="3">
        <v>5825.4380000000001</v>
      </c>
      <c r="C554">
        <f t="shared" si="24"/>
        <v>2017</v>
      </c>
      <c r="D554">
        <f t="shared" si="25"/>
        <v>2</v>
      </c>
      <c r="E554" s="7" cm="1">
        <f t="array" ref="E554">LOOKUP(12, D:D/(C:C = C554 - 1), B:B)</f>
        <v>5383.1170000000002</v>
      </c>
      <c r="F554">
        <f t="shared" si="26"/>
        <v>1.0821681936320537</v>
      </c>
    </row>
    <row r="555" spans="1:6" ht="17" x14ac:dyDescent="0.25">
      <c r="A555" s="2">
        <v>42825</v>
      </c>
      <c r="B555" s="3">
        <v>5911.7380000000003</v>
      </c>
      <c r="C555">
        <f t="shared" si="24"/>
        <v>2017</v>
      </c>
      <c r="D555">
        <f t="shared" si="25"/>
        <v>3</v>
      </c>
      <c r="E555" s="7" cm="1">
        <f t="array" ref="E555">LOOKUP(12, D:D/(C:C = C555 - 1), B:B)</f>
        <v>5383.1170000000002</v>
      </c>
      <c r="F555">
        <f t="shared" si="26"/>
        <v>1.0981997976265423</v>
      </c>
    </row>
    <row r="556" spans="1:6" ht="17" x14ac:dyDescent="0.25">
      <c r="A556" s="2">
        <v>42853</v>
      </c>
      <c r="B556" s="3">
        <v>6047.6059999999998</v>
      </c>
      <c r="C556">
        <f t="shared" si="24"/>
        <v>2017</v>
      </c>
      <c r="D556">
        <f t="shared" si="25"/>
        <v>4</v>
      </c>
      <c r="E556" s="7" cm="1">
        <f t="array" ref="E556">LOOKUP(12, D:D/(C:C = C556 - 1), B:B)</f>
        <v>5383.1170000000002</v>
      </c>
      <c r="F556">
        <f t="shared" si="26"/>
        <v>1.1234394496720022</v>
      </c>
    </row>
    <row r="557" spans="1:6" ht="17" x14ac:dyDescent="0.25">
      <c r="A557" s="2">
        <v>42886</v>
      </c>
      <c r="B557" s="3">
        <v>6198.5169999999998</v>
      </c>
      <c r="C557">
        <f t="shared" si="24"/>
        <v>2017</v>
      </c>
      <c r="D557">
        <f t="shared" si="25"/>
        <v>5</v>
      </c>
      <c r="E557" s="7" cm="1">
        <f t="array" ref="E557">LOOKUP(12, D:D/(C:C = C557 - 1), B:B)</f>
        <v>5383.1170000000002</v>
      </c>
      <c r="F557">
        <f t="shared" si="26"/>
        <v>1.1514735793407425</v>
      </c>
    </row>
    <row r="558" spans="1:6" ht="17" x14ac:dyDescent="0.25">
      <c r="A558" s="2">
        <v>42916</v>
      </c>
      <c r="B558" s="3">
        <v>6140.42</v>
      </c>
      <c r="C558">
        <f t="shared" si="24"/>
        <v>2017</v>
      </c>
      <c r="D558">
        <f t="shared" si="25"/>
        <v>6</v>
      </c>
      <c r="E558" s="7" cm="1">
        <f t="array" ref="E558">LOOKUP(12, D:D/(C:C = C558 - 1), B:B)</f>
        <v>5383.1170000000002</v>
      </c>
      <c r="F558">
        <f t="shared" si="26"/>
        <v>1.1406811332542093</v>
      </c>
    </row>
    <row r="559" spans="1:6" ht="17" x14ac:dyDescent="0.25">
      <c r="A559" s="2">
        <v>42947</v>
      </c>
      <c r="B559" s="3">
        <v>6348.1229999999996</v>
      </c>
      <c r="C559">
        <f t="shared" si="24"/>
        <v>2017</v>
      </c>
      <c r="D559">
        <f t="shared" si="25"/>
        <v>7</v>
      </c>
      <c r="E559" s="7" cm="1">
        <f t="array" ref="E559">LOOKUP(12, D:D/(C:C = C559 - 1), B:B)</f>
        <v>5383.1170000000002</v>
      </c>
      <c r="F559">
        <f t="shared" si="26"/>
        <v>1.179265284406785</v>
      </c>
    </row>
    <row r="560" spans="1:6" ht="17" x14ac:dyDescent="0.25">
      <c r="A560" s="2">
        <v>42978</v>
      </c>
      <c r="B560" s="3">
        <v>6428.6620000000003</v>
      </c>
      <c r="C560">
        <f t="shared" si="24"/>
        <v>2017</v>
      </c>
      <c r="D560">
        <f t="shared" si="25"/>
        <v>8</v>
      </c>
      <c r="E560" s="7" cm="1">
        <f t="array" ref="E560">LOOKUP(12, D:D/(C:C = C560 - 1), B:B)</f>
        <v>5383.1170000000002</v>
      </c>
      <c r="F560">
        <f t="shared" si="26"/>
        <v>1.1942266905958017</v>
      </c>
    </row>
    <row r="561" spans="1:6" ht="17" x14ac:dyDescent="0.25">
      <c r="A561" s="2">
        <v>43007</v>
      </c>
      <c r="B561" s="3">
        <v>6495.9589999999998</v>
      </c>
      <c r="C561">
        <f t="shared" si="24"/>
        <v>2017</v>
      </c>
      <c r="D561">
        <f t="shared" si="25"/>
        <v>9</v>
      </c>
      <c r="E561" s="7" cm="1">
        <f t="array" ref="E561">LOOKUP(12, D:D/(C:C = C561 - 1), B:B)</f>
        <v>5383.1170000000002</v>
      </c>
      <c r="F561">
        <f t="shared" si="26"/>
        <v>1.2067281836898585</v>
      </c>
    </row>
    <row r="562" spans="1:6" ht="17" x14ac:dyDescent="0.25">
      <c r="A562" s="2">
        <v>43039</v>
      </c>
      <c r="B562" s="3">
        <v>6727.6689999999999</v>
      </c>
      <c r="C562">
        <f t="shared" si="24"/>
        <v>2017</v>
      </c>
      <c r="D562">
        <f t="shared" si="25"/>
        <v>10</v>
      </c>
      <c r="E562" s="7" cm="1">
        <f t="array" ref="E562">LOOKUP(12, D:D/(C:C = C562 - 1), B:B)</f>
        <v>5383.1170000000002</v>
      </c>
      <c r="F562">
        <f t="shared" si="26"/>
        <v>1.2497720187021757</v>
      </c>
    </row>
    <row r="563" spans="1:6" ht="17" x14ac:dyDescent="0.25">
      <c r="A563" s="2">
        <v>43069</v>
      </c>
      <c r="B563" s="3">
        <v>6873.97</v>
      </c>
      <c r="C563">
        <f t="shared" si="24"/>
        <v>2017</v>
      </c>
      <c r="D563">
        <f t="shared" si="25"/>
        <v>11</v>
      </c>
      <c r="E563" s="7" cm="1">
        <f t="array" ref="E563">LOOKUP(12, D:D/(C:C = C563 - 1), B:B)</f>
        <v>5383.1170000000002</v>
      </c>
      <c r="F563">
        <f t="shared" si="26"/>
        <v>1.2769497672073633</v>
      </c>
    </row>
    <row r="564" spans="1:6" ht="17" x14ac:dyDescent="0.25">
      <c r="A564" s="2">
        <v>43098</v>
      </c>
      <c r="B564" s="3">
        <v>6903.39</v>
      </c>
      <c r="C564">
        <f t="shared" si="24"/>
        <v>2017</v>
      </c>
      <c r="D564">
        <f t="shared" si="25"/>
        <v>12</v>
      </c>
      <c r="E564" s="7" cm="1">
        <f t="array" ref="E564">LOOKUP(12, D:D/(C:C = C564 - 1), B:B)</f>
        <v>5383.1170000000002</v>
      </c>
      <c r="F564">
        <f t="shared" si="26"/>
        <v>1.2824150023118577</v>
      </c>
    </row>
    <row r="565" spans="1:6" ht="17" x14ac:dyDescent="0.25">
      <c r="A565" s="2">
        <v>43131</v>
      </c>
      <c r="B565" s="3">
        <v>7411.48</v>
      </c>
      <c r="C565">
        <f t="shared" si="24"/>
        <v>2018</v>
      </c>
      <c r="D565">
        <f t="shared" si="25"/>
        <v>1</v>
      </c>
      <c r="E565" s="7" cm="1">
        <f t="array" ref="E565">LOOKUP(12, D:D/(C:C = C565 - 1), B:B)</f>
        <v>6903.39</v>
      </c>
      <c r="F565">
        <f t="shared" si="26"/>
        <v>1.0736000718487582</v>
      </c>
    </row>
    <row r="566" spans="1:6" ht="17" x14ac:dyDescent="0.25">
      <c r="A566" s="2">
        <v>43159</v>
      </c>
      <c r="B566" s="3">
        <v>7273.01</v>
      </c>
      <c r="C566">
        <f t="shared" si="24"/>
        <v>2018</v>
      </c>
      <c r="D566">
        <f t="shared" si="25"/>
        <v>2</v>
      </c>
      <c r="E566" s="7" cm="1">
        <f t="array" ref="E566">LOOKUP(12, D:D/(C:C = C566 - 1), B:B)</f>
        <v>6903.39</v>
      </c>
      <c r="F566">
        <f t="shared" si="26"/>
        <v>1.0535418106176819</v>
      </c>
    </row>
    <row r="567" spans="1:6" ht="17" x14ac:dyDescent="0.25">
      <c r="A567" s="2">
        <v>43188</v>
      </c>
      <c r="B567" s="3">
        <v>7063.44</v>
      </c>
      <c r="C567">
        <f t="shared" si="24"/>
        <v>2018</v>
      </c>
      <c r="D567">
        <f t="shared" si="25"/>
        <v>3</v>
      </c>
      <c r="E567" s="7" cm="1">
        <f t="array" ref="E567">LOOKUP(12, D:D/(C:C = C567 - 1), B:B)</f>
        <v>6903.39</v>
      </c>
      <c r="F567">
        <f t="shared" si="26"/>
        <v>1.0231842616453655</v>
      </c>
    </row>
    <row r="568" spans="1:6" ht="17" x14ac:dyDescent="0.25">
      <c r="A568" s="2">
        <v>43220</v>
      </c>
      <c r="B568" s="3">
        <v>7066.27</v>
      </c>
      <c r="C568">
        <f t="shared" si="24"/>
        <v>2018</v>
      </c>
      <c r="D568">
        <f t="shared" si="25"/>
        <v>4</v>
      </c>
      <c r="E568" s="7" cm="1">
        <f t="array" ref="E568">LOOKUP(12, D:D/(C:C = C568 - 1), B:B)</f>
        <v>6903.39</v>
      </c>
      <c r="F568">
        <f t="shared" si="26"/>
        <v>1.0235942051658677</v>
      </c>
    </row>
    <row r="569" spans="1:6" ht="17" x14ac:dyDescent="0.25">
      <c r="A569" s="2">
        <v>43251</v>
      </c>
      <c r="B569" s="3">
        <v>7442.12</v>
      </c>
      <c r="C569">
        <f t="shared" si="24"/>
        <v>2018</v>
      </c>
      <c r="D569">
        <f t="shared" si="25"/>
        <v>5</v>
      </c>
      <c r="E569" s="7" cm="1">
        <f t="array" ref="E569">LOOKUP(12, D:D/(C:C = C569 - 1), B:B)</f>
        <v>6903.39</v>
      </c>
      <c r="F569">
        <f t="shared" si="26"/>
        <v>1.0780384709541253</v>
      </c>
    </row>
    <row r="570" spans="1:6" ht="17" x14ac:dyDescent="0.25">
      <c r="A570" s="2">
        <v>43280</v>
      </c>
      <c r="B570" s="3">
        <v>7510.3</v>
      </c>
      <c r="C570">
        <f t="shared" si="24"/>
        <v>2018</v>
      </c>
      <c r="D570">
        <f t="shared" si="25"/>
        <v>6</v>
      </c>
      <c r="E570" s="7" cm="1">
        <f t="array" ref="E570">LOOKUP(12, D:D/(C:C = C570 - 1), B:B)</f>
        <v>6903.39</v>
      </c>
      <c r="F570">
        <f t="shared" si="26"/>
        <v>1.0879147781017731</v>
      </c>
    </row>
    <row r="571" spans="1:6" ht="17" x14ac:dyDescent="0.25">
      <c r="A571" s="2">
        <v>43312</v>
      </c>
      <c r="B571" s="3">
        <v>7671.79</v>
      </c>
      <c r="C571">
        <f t="shared" si="24"/>
        <v>2018</v>
      </c>
      <c r="D571">
        <f t="shared" si="25"/>
        <v>7</v>
      </c>
      <c r="E571" s="7" cm="1">
        <f t="array" ref="E571">LOOKUP(12, D:D/(C:C = C571 - 1), B:B)</f>
        <v>6903.39</v>
      </c>
      <c r="F571">
        <f t="shared" si="26"/>
        <v>1.1113076329165814</v>
      </c>
    </row>
    <row r="572" spans="1:6" ht="17" x14ac:dyDescent="0.25">
      <c r="A572" s="2">
        <v>43343</v>
      </c>
      <c r="B572" s="3">
        <v>8109.54</v>
      </c>
      <c r="C572">
        <f t="shared" si="24"/>
        <v>2018</v>
      </c>
      <c r="D572">
        <f t="shared" si="25"/>
        <v>8</v>
      </c>
      <c r="E572" s="7" cm="1">
        <f t="array" ref="E572">LOOKUP(12, D:D/(C:C = C572 - 1), B:B)</f>
        <v>6903.39</v>
      </c>
      <c r="F572">
        <f t="shared" si="26"/>
        <v>1.1747185078635278</v>
      </c>
    </row>
    <row r="573" spans="1:6" ht="17" x14ac:dyDescent="0.25">
      <c r="A573" s="2">
        <v>43371</v>
      </c>
      <c r="B573" s="3">
        <v>8046.35</v>
      </c>
      <c r="C573">
        <f t="shared" si="24"/>
        <v>2018</v>
      </c>
      <c r="D573">
        <f t="shared" si="25"/>
        <v>9</v>
      </c>
      <c r="E573" s="7" cm="1">
        <f t="array" ref="E573">LOOKUP(12, D:D/(C:C = C573 - 1), B:B)</f>
        <v>6903.39</v>
      </c>
      <c r="F573">
        <f t="shared" si="26"/>
        <v>1.1655650339905466</v>
      </c>
    </row>
    <row r="574" spans="1:6" ht="17" x14ac:dyDescent="0.25">
      <c r="A574" s="2">
        <v>43404</v>
      </c>
      <c r="B574" s="3">
        <v>7305.9</v>
      </c>
      <c r="C574">
        <f t="shared" si="24"/>
        <v>2018</v>
      </c>
      <c r="D574">
        <f t="shared" si="25"/>
        <v>10</v>
      </c>
      <c r="E574" s="7" cm="1">
        <f t="array" ref="E574">LOOKUP(12, D:D/(C:C = C574 - 1), B:B)</f>
        <v>6903.39</v>
      </c>
      <c r="F574">
        <f t="shared" si="26"/>
        <v>1.0583061365503035</v>
      </c>
    </row>
    <row r="575" spans="1:6" ht="17" x14ac:dyDescent="0.25">
      <c r="A575" s="2">
        <v>43434</v>
      </c>
      <c r="B575" s="3">
        <v>7330.54</v>
      </c>
      <c r="C575">
        <f t="shared" si="24"/>
        <v>2018</v>
      </c>
      <c r="D575">
        <f t="shared" si="25"/>
        <v>11</v>
      </c>
      <c r="E575" s="7" cm="1">
        <f t="array" ref="E575">LOOKUP(12, D:D/(C:C = C575 - 1), B:B)</f>
        <v>6903.39</v>
      </c>
      <c r="F575">
        <f t="shared" si="26"/>
        <v>1.0618753974496586</v>
      </c>
    </row>
    <row r="576" spans="1:6" ht="17" x14ac:dyDescent="0.25">
      <c r="A576" s="2">
        <v>43465</v>
      </c>
      <c r="B576" s="3">
        <v>6635.28</v>
      </c>
      <c r="C576">
        <f t="shared" si="24"/>
        <v>2018</v>
      </c>
      <c r="D576">
        <f t="shared" si="25"/>
        <v>12</v>
      </c>
      <c r="E576" s="7" cm="1">
        <f t="array" ref="E576">LOOKUP(12, D:D/(C:C = C576 - 1), B:B)</f>
        <v>6903.39</v>
      </c>
      <c r="F576">
        <f t="shared" si="26"/>
        <v>0.96116255926436134</v>
      </c>
    </row>
    <row r="577" spans="1:6" ht="17" x14ac:dyDescent="0.25">
      <c r="A577" s="2">
        <v>43496</v>
      </c>
      <c r="B577" s="3">
        <v>7281.74</v>
      </c>
      <c r="C577">
        <f t="shared" si="24"/>
        <v>2019</v>
      </c>
      <c r="D577">
        <f t="shared" si="25"/>
        <v>1</v>
      </c>
      <c r="E577" s="7" cm="1">
        <f t="array" ref="E577">LOOKUP(12, D:D/(C:C = C577 - 1), B:B)</f>
        <v>6635.28</v>
      </c>
      <c r="F577">
        <f t="shared" si="26"/>
        <v>1.0974276895624602</v>
      </c>
    </row>
    <row r="578" spans="1:6" ht="17" x14ac:dyDescent="0.25">
      <c r="A578" s="2">
        <v>43524</v>
      </c>
      <c r="B578" s="3">
        <v>7532.53</v>
      </c>
      <c r="C578">
        <f t="shared" ref="C578:C641" si="27">YEAR(A578)</f>
        <v>2019</v>
      </c>
      <c r="D578">
        <f t="shared" ref="D578:D641" si="28">MONTH(A578)</f>
        <v>2</v>
      </c>
      <c r="E578" s="7" cm="1">
        <f t="array" ref="E578">LOOKUP(12, D:D/(C:C = C578 - 1), B:B)</f>
        <v>6635.28</v>
      </c>
      <c r="F578">
        <f t="shared" si="26"/>
        <v>1.1352241352286565</v>
      </c>
    </row>
    <row r="579" spans="1:6" ht="17" x14ac:dyDescent="0.25">
      <c r="A579" s="2">
        <v>43553</v>
      </c>
      <c r="B579" s="3">
        <v>7729.32</v>
      </c>
      <c r="C579">
        <f t="shared" si="27"/>
        <v>2019</v>
      </c>
      <c r="D579">
        <f t="shared" si="28"/>
        <v>3</v>
      </c>
      <c r="E579" s="7" cm="1">
        <f t="array" ref="E579">LOOKUP(12, D:D/(C:C = C579 - 1), B:B)</f>
        <v>6635.28</v>
      </c>
      <c r="F579">
        <f t="shared" ref="F579:F642" si="29">B579/E579</f>
        <v>1.1648822657069484</v>
      </c>
    </row>
    <row r="580" spans="1:6" ht="17" x14ac:dyDescent="0.25">
      <c r="A580" s="2">
        <v>43585</v>
      </c>
      <c r="B580" s="3">
        <v>8095.3869999999997</v>
      </c>
      <c r="C580">
        <f t="shared" si="27"/>
        <v>2019</v>
      </c>
      <c r="D580">
        <f t="shared" si="28"/>
        <v>4</v>
      </c>
      <c r="E580" s="7" cm="1">
        <f t="array" ref="E580">LOOKUP(12, D:D/(C:C = C580 - 1), B:B)</f>
        <v>6635.28</v>
      </c>
      <c r="F580">
        <f t="shared" si="29"/>
        <v>1.2200520550752945</v>
      </c>
    </row>
    <row r="581" spans="1:6" ht="17" x14ac:dyDescent="0.25">
      <c r="A581" s="2">
        <v>43616</v>
      </c>
      <c r="B581" s="3">
        <v>7453.1480000000001</v>
      </c>
      <c r="C581">
        <f t="shared" si="27"/>
        <v>2019</v>
      </c>
      <c r="D581">
        <f t="shared" si="28"/>
        <v>5</v>
      </c>
      <c r="E581" s="7" cm="1">
        <f t="array" ref="E581">LOOKUP(12, D:D/(C:C = C581 - 1), B:B)</f>
        <v>6635.28</v>
      </c>
      <c r="F581">
        <f t="shared" si="29"/>
        <v>1.1232605104833557</v>
      </c>
    </row>
    <row r="582" spans="1:6" ht="17" x14ac:dyDescent="0.25">
      <c r="A582" s="2">
        <v>43644</v>
      </c>
      <c r="B582" s="3">
        <v>8006.2420000000002</v>
      </c>
      <c r="C582">
        <f t="shared" si="27"/>
        <v>2019</v>
      </c>
      <c r="D582">
        <f t="shared" si="28"/>
        <v>6</v>
      </c>
      <c r="E582" s="7" cm="1">
        <f t="array" ref="E582">LOOKUP(12, D:D/(C:C = C582 - 1), B:B)</f>
        <v>6635.28</v>
      </c>
      <c r="F582">
        <f t="shared" si="29"/>
        <v>1.2066170530859286</v>
      </c>
    </row>
    <row r="583" spans="1:6" ht="17" x14ac:dyDescent="0.25">
      <c r="A583" s="2">
        <v>43677</v>
      </c>
      <c r="B583" s="3">
        <v>8175.4179999999997</v>
      </c>
      <c r="C583">
        <f t="shared" si="27"/>
        <v>2019</v>
      </c>
      <c r="D583">
        <f t="shared" si="28"/>
        <v>7</v>
      </c>
      <c r="E583" s="7" cm="1">
        <f t="array" ref="E583">LOOKUP(12, D:D/(C:C = C583 - 1), B:B)</f>
        <v>6635.28</v>
      </c>
      <c r="F583">
        <f t="shared" si="29"/>
        <v>1.2321134903123907</v>
      </c>
    </row>
    <row r="584" spans="1:6" ht="17" x14ac:dyDescent="0.25">
      <c r="A584" s="2">
        <v>43707</v>
      </c>
      <c r="B584" s="3">
        <v>7962.8829999999998</v>
      </c>
      <c r="C584">
        <f t="shared" si="27"/>
        <v>2019</v>
      </c>
      <c r="D584">
        <f t="shared" si="28"/>
        <v>8</v>
      </c>
      <c r="E584" s="7" cm="1">
        <f t="array" ref="E584">LOOKUP(12, D:D/(C:C = C584 - 1), B:B)</f>
        <v>6635.28</v>
      </c>
      <c r="F584">
        <f t="shared" si="29"/>
        <v>1.2000824381186628</v>
      </c>
    </row>
    <row r="585" spans="1:6" ht="17" x14ac:dyDescent="0.25">
      <c r="A585" s="2">
        <v>43738</v>
      </c>
      <c r="B585" s="3">
        <v>7999.34</v>
      </c>
      <c r="C585">
        <f t="shared" si="27"/>
        <v>2019</v>
      </c>
      <c r="D585">
        <f t="shared" si="28"/>
        <v>9</v>
      </c>
      <c r="E585" s="7" cm="1">
        <f t="array" ref="E585">LOOKUP(12, D:D/(C:C = C585 - 1), B:B)</f>
        <v>6635.28</v>
      </c>
      <c r="F585">
        <f t="shared" si="29"/>
        <v>1.2055768558372819</v>
      </c>
    </row>
    <row r="586" spans="1:6" ht="17" x14ac:dyDescent="0.25">
      <c r="A586" s="2">
        <v>43769</v>
      </c>
      <c r="B586" s="3">
        <v>8292.3590000000004</v>
      </c>
      <c r="C586">
        <f t="shared" si="27"/>
        <v>2019</v>
      </c>
      <c r="D586">
        <f t="shared" si="28"/>
        <v>10</v>
      </c>
      <c r="E586" s="7" cm="1">
        <f t="array" ref="E586">LOOKUP(12, D:D/(C:C = C586 - 1), B:B)</f>
        <v>6635.28</v>
      </c>
      <c r="F586">
        <f t="shared" si="29"/>
        <v>1.2497376146899604</v>
      </c>
    </row>
    <row r="587" spans="1:6" ht="17" x14ac:dyDescent="0.25">
      <c r="A587" s="2">
        <v>43798</v>
      </c>
      <c r="B587" s="3">
        <v>8665.473</v>
      </c>
      <c r="C587">
        <f t="shared" si="27"/>
        <v>2019</v>
      </c>
      <c r="D587">
        <f t="shared" si="28"/>
        <v>11</v>
      </c>
      <c r="E587" s="7" cm="1">
        <f t="array" ref="E587">LOOKUP(12, D:D/(C:C = C587 - 1), B:B)</f>
        <v>6635.28</v>
      </c>
      <c r="F587">
        <f t="shared" si="29"/>
        <v>1.3059694541903282</v>
      </c>
    </row>
    <row r="588" spans="1:6" ht="17" x14ac:dyDescent="0.25">
      <c r="A588" s="2">
        <v>43830</v>
      </c>
      <c r="B588" s="3">
        <v>8972.6049999999996</v>
      </c>
      <c r="C588">
        <f t="shared" si="27"/>
        <v>2019</v>
      </c>
      <c r="D588">
        <f t="shared" si="28"/>
        <v>12</v>
      </c>
      <c r="E588" s="7" cm="1">
        <f t="array" ref="E588">LOOKUP(12, D:D/(C:C = C588 - 1), B:B)</f>
        <v>6635.28</v>
      </c>
      <c r="F588">
        <f t="shared" si="29"/>
        <v>1.3522571767883194</v>
      </c>
    </row>
    <row r="589" spans="1:6" ht="17" x14ac:dyDescent="0.25">
      <c r="A589" s="2">
        <v>43861</v>
      </c>
      <c r="B589" s="3">
        <v>9150.9380000000001</v>
      </c>
      <c r="C589">
        <f t="shared" si="27"/>
        <v>2020</v>
      </c>
      <c r="D589">
        <f t="shared" si="28"/>
        <v>1</v>
      </c>
      <c r="E589" s="7" cm="1">
        <f t="array" ref="E589">LOOKUP(12, D:D/(C:C = C589 - 1), B:B)</f>
        <v>8972.6049999999996</v>
      </c>
      <c r="F589">
        <f t="shared" si="29"/>
        <v>1.0198752759092817</v>
      </c>
    </row>
    <row r="590" spans="1:6" ht="17" x14ac:dyDescent="0.25">
      <c r="A590" s="2">
        <v>43889</v>
      </c>
      <c r="B590" s="3">
        <v>8567.3670000000002</v>
      </c>
      <c r="C590">
        <f t="shared" si="27"/>
        <v>2020</v>
      </c>
      <c r="D590">
        <f t="shared" si="28"/>
        <v>2</v>
      </c>
      <c r="E590" s="7" cm="1">
        <f t="array" ref="E590">LOOKUP(12, D:D/(C:C = C590 - 1), B:B)</f>
        <v>8972.6049999999996</v>
      </c>
      <c r="F590">
        <f t="shared" si="29"/>
        <v>0.95483608160617794</v>
      </c>
    </row>
    <row r="591" spans="1:6" ht="17" x14ac:dyDescent="0.25">
      <c r="A591" s="2">
        <v>43921</v>
      </c>
      <c r="B591" s="3">
        <v>7700.098</v>
      </c>
      <c r="C591">
        <f t="shared" si="27"/>
        <v>2020</v>
      </c>
      <c r="D591">
        <f t="shared" si="28"/>
        <v>3</v>
      </c>
      <c r="E591" s="7" cm="1">
        <f t="array" ref="E591">LOOKUP(12, D:D/(C:C = C591 - 1), B:B)</f>
        <v>8972.6049999999996</v>
      </c>
      <c r="F591">
        <f t="shared" si="29"/>
        <v>0.85817864488629558</v>
      </c>
    </row>
    <row r="592" spans="1:6" ht="17" x14ac:dyDescent="0.25">
      <c r="A592" s="2">
        <v>43951</v>
      </c>
      <c r="B592" s="3">
        <v>8889.5509999999995</v>
      </c>
      <c r="C592">
        <f t="shared" si="27"/>
        <v>2020</v>
      </c>
      <c r="D592">
        <f t="shared" si="28"/>
        <v>4</v>
      </c>
      <c r="E592" s="7" cm="1">
        <f t="array" ref="E592">LOOKUP(12, D:D/(C:C = C592 - 1), B:B)</f>
        <v>8972.6049999999996</v>
      </c>
      <c r="F592">
        <f t="shared" si="29"/>
        <v>0.99074360233176428</v>
      </c>
    </row>
    <row r="593" spans="1:6" ht="17" x14ac:dyDescent="0.25">
      <c r="A593" s="2">
        <v>43980</v>
      </c>
      <c r="B593" s="3">
        <v>9489.8709999999992</v>
      </c>
      <c r="C593">
        <f t="shared" si="27"/>
        <v>2020</v>
      </c>
      <c r="D593">
        <f t="shared" si="28"/>
        <v>5</v>
      </c>
      <c r="E593" s="7" cm="1">
        <f t="array" ref="E593">LOOKUP(12, D:D/(C:C = C593 - 1), B:B)</f>
        <v>8972.6049999999996</v>
      </c>
      <c r="F593">
        <f t="shared" si="29"/>
        <v>1.0576494786073831</v>
      </c>
    </row>
    <row r="594" spans="1:6" ht="17" x14ac:dyDescent="0.25">
      <c r="A594" s="2">
        <v>44012</v>
      </c>
      <c r="B594" s="3">
        <v>10058.766</v>
      </c>
      <c r="C594">
        <f t="shared" si="27"/>
        <v>2020</v>
      </c>
      <c r="D594">
        <f t="shared" si="28"/>
        <v>6</v>
      </c>
      <c r="E594" s="7" cm="1">
        <f t="array" ref="E594">LOOKUP(12, D:D/(C:C = C594 - 1), B:B)</f>
        <v>8972.6049999999996</v>
      </c>
      <c r="F594">
        <f t="shared" si="29"/>
        <v>1.1210530275209931</v>
      </c>
    </row>
    <row r="595" spans="1:6" ht="17" x14ac:dyDescent="0.25">
      <c r="A595" s="2">
        <v>44043</v>
      </c>
      <c r="B595" s="3">
        <v>10745.272999999999</v>
      </c>
      <c r="C595">
        <f t="shared" si="27"/>
        <v>2020</v>
      </c>
      <c r="D595">
        <f t="shared" si="28"/>
        <v>7</v>
      </c>
      <c r="E595" s="7" cm="1">
        <f t="array" ref="E595">LOOKUP(12, D:D/(C:C = C595 - 1), B:B)</f>
        <v>8972.6049999999996</v>
      </c>
      <c r="F595">
        <f t="shared" si="29"/>
        <v>1.1975644754226893</v>
      </c>
    </row>
    <row r="596" spans="1:6" ht="17" x14ac:dyDescent="0.25">
      <c r="A596" s="2">
        <v>44074</v>
      </c>
      <c r="B596" s="3">
        <v>11775.457</v>
      </c>
      <c r="C596">
        <f t="shared" si="27"/>
        <v>2020</v>
      </c>
      <c r="D596">
        <f t="shared" si="28"/>
        <v>8</v>
      </c>
      <c r="E596" s="7" cm="1">
        <f t="array" ref="E596">LOOKUP(12, D:D/(C:C = C596 - 1), B:B)</f>
        <v>8972.6049999999996</v>
      </c>
      <c r="F596">
        <f t="shared" si="29"/>
        <v>1.3123788464999853</v>
      </c>
    </row>
    <row r="597" spans="1:6" ht="17" x14ac:dyDescent="0.25">
      <c r="A597" s="2">
        <v>44104</v>
      </c>
      <c r="B597" s="3">
        <v>11167.508</v>
      </c>
      <c r="C597">
        <f t="shared" si="27"/>
        <v>2020</v>
      </c>
      <c r="D597">
        <f t="shared" si="28"/>
        <v>9</v>
      </c>
      <c r="E597" s="7" cm="1">
        <f t="array" ref="E597">LOOKUP(12, D:D/(C:C = C597 - 1), B:B)</f>
        <v>8972.6049999999996</v>
      </c>
      <c r="F597">
        <f t="shared" si="29"/>
        <v>1.2446227154767207</v>
      </c>
    </row>
    <row r="598" spans="1:6" ht="17" x14ac:dyDescent="0.25">
      <c r="A598" s="2">
        <v>44134</v>
      </c>
      <c r="B598" s="3">
        <v>10911.59</v>
      </c>
      <c r="C598">
        <f t="shared" si="27"/>
        <v>2020</v>
      </c>
      <c r="D598">
        <f t="shared" si="28"/>
        <v>10</v>
      </c>
      <c r="E598" s="7" cm="1">
        <f t="array" ref="E598">LOOKUP(12, D:D/(C:C = C598 - 1), B:B)</f>
        <v>8972.6049999999996</v>
      </c>
      <c r="F598">
        <f t="shared" si="29"/>
        <v>1.2161005638830642</v>
      </c>
    </row>
    <row r="599" spans="1:6" ht="17" x14ac:dyDescent="0.25">
      <c r="A599" s="2">
        <v>44165</v>
      </c>
      <c r="B599" s="3">
        <v>12198.74</v>
      </c>
      <c r="C599">
        <f t="shared" si="27"/>
        <v>2020</v>
      </c>
      <c r="D599">
        <f t="shared" si="28"/>
        <v>11</v>
      </c>
      <c r="E599" s="7" cm="1">
        <f t="array" ref="E599">LOOKUP(12, D:D/(C:C = C599 - 1), B:B)</f>
        <v>8972.6049999999996</v>
      </c>
      <c r="F599">
        <f t="shared" si="29"/>
        <v>1.3595538865245935</v>
      </c>
    </row>
    <row r="600" spans="1:6" ht="17" x14ac:dyDescent="0.25">
      <c r="A600" s="2">
        <v>44196</v>
      </c>
      <c r="B600" s="3">
        <v>12888.28</v>
      </c>
      <c r="C600">
        <f t="shared" si="27"/>
        <v>2020</v>
      </c>
      <c r="D600">
        <f t="shared" si="28"/>
        <v>12</v>
      </c>
      <c r="E600" s="7" cm="1">
        <f t="array" ref="E600">LOOKUP(12, D:D/(C:C = C600 - 1), B:B)</f>
        <v>8972.6049999999996</v>
      </c>
      <c r="F600">
        <f t="shared" si="29"/>
        <v>1.4364033633487712</v>
      </c>
    </row>
    <row r="601" spans="1:6" ht="17" x14ac:dyDescent="0.25">
      <c r="A601" s="2">
        <v>44225</v>
      </c>
      <c r="B601" s="3">
        <v>13070.69</v>
      </c>
      <c r="C601">
        <f t="shared" si="27"/>
        <v>2021</v>
      </c>
      <c r="D601">
        <f t="shared" si="28"/>
        <v>1</v>
      </c>
      <c r="E601" s="7" cm="1">
        <f t="array" ref="E601">LOOKUP(12, D:D/(C:C = C601 - 1), B:B)</f>
        <v>12888.28</v>
      </c>
      <c r="F601">
        <f t="shared" si="29"/>
        <v>1.014153168615207</v>
      </c>
    </row>
    <row r="602" spans="1:6" ht="17" x14ac:dyDescent="0.25">
      <c r="A602" s="2">
        <v>44253</v>
      </c>
      <c r="B602" s="3">
        <v>13192.35</v>
      </c>
      <c r="C602">
        <f t="shared" si="27"/>
        <v>2021</v>
      </c>
      <c r="D602">
        <f t="shared" si="28"/>
        <v>2</v>
      </c>
      <c r="E602" s="7" cm="1">
        <f t="array" ref="E602">LOOKUP(12, D:D/(C:C = C602 - 1), B:B)</f>
        <v>12888.28</v>
      </c>
      <c r="F602">
        <f t="shared" si="29"/>
        <v>1.0235927524852035</v>
      </c>
    </row>
    <row r="603" spans="1:6" ht="17" x14ac:dyDescent="0.25">
      <c r="A603" s="2">
        <v>44286</v>
      </c>
      <c r="B603" s="3">
        <v>13246.87</v>
      </c>
      <c r="C603">
        <f t="shared" si="27"/>
        <v>2021</v>
      </c>
      <c r="D603">
        <f t="shared" si="28"/>
        <v>3</v>
      </c>
      <c r="E603" s="7" cm="1">
        <f t="array" ref="E603">LOOKUP(12, D:D/(C:C = C603 - 1), B:B)</f>
        <v>12888.28</v>
      </c>
      <c r="F603">
        <f t="shared" si="29"/>
        <v>1.0278229523256788</v>
      </c>
    </row>
    <row r="604" spans="1:6" ht="17" x14ac:dyDescent="0.25">
      <c r="A604" s="2">
        <v>44316</v>
      </c>
      <c r="B604" s="3">
        <v>13962.68</v>
      </c>
      <c r="C604">
        <f t="shared" si="27"/>
        <v>2021</v>
      </c>
      <c r="D604">
        <f t="shared" si="28"/>
        <v>4</v>
      </c>
      <c r="E604" s="7" cm="1">
        <f t="array" ref="E604">LOOKUP(12, D:D/(C:C = C604 - 1), B:B)</f>
        <v>12888.28</v>
      </c>
      <c r="F604">
        <f t="shared" si="29"/>
        <v>1.0833625588519182</v>
      </c>
    </row>
    <row r="605" spans="1:6" ht="17" x14ac:dyDescent="0.25">
      <c r="A605" s="2">
        <v>44344</v>
      </c>
      <c r="B605" s="3">
        <v>13748.74</v>
      </c>
      <c r="C605">
        <f t="shared" si="27"/>
        <v>2021</v>
      </c>
      <c r="D605">
        <f t="shared" si="28"/>
        <v>5</v>
      </c>
      <c r="E605" s="7" cm="1">
        <f t="array" ref="E605">LOOKUP(12, D:D/(C:C = C605 - 1), B:B)</f>
        <v>12888.28</v>
      </c>
      <c r="F605">
        <f t="shared" si="29"/>
        <v>1.0667629815615427</v>
      </c>
    </row>
    <row r="606" spans="1:6" ht="17" x14ac:dyDescent="0.25">
      <c r="A606" s="2">
        <v>44377</v>
      </c>
      <c r="B606" s="3">
        <v>14503.95</v>
      </c>
      <c r="C606">
        <f t="shared" si="27"/>
        <v>2021</v>
      </c>
      <c r="D606">
        <f t="shared" si="28"/>
        <v>6</v>
      </c>
      <c r="E606" s="7" cm="1">
        <f t="array" ref="E606">LOOKUP(12, D:D/(C:C = C606 - 1), B:B)</f>
        <v>12888.28</v>
      </c>
      <c r="F606">
        <f t="shared" si="29"/>
        <v>1.1253596290583383</v>
      </c>
    </row>
    <row r="607" spans="1:6" ht="17" x14ac:dyDescent="0.25">
      <c r="A607" s="2">
        <v>44407</v>
      </c>
      <c r="B607" s="3">
        <v>14672.68</v>
      </c>
      <c r="C607">
        <f t="shared" si="27"/>
        <v>2021</v>
      </c>
      <c r="D607">
        <f t="shared" si="28"/>
        <v>7</v>
      </c>
      <c r="E607" s="7" cm="1">
        <f t="array" ref="E607">LOOKUP(12, D:D/(C:C = C607 - 1), B:B)</f>
        <v>12888.28</v>
      </c>
      <c r="F607">
        <f t="shared" si="29"/>
        <v>1.138451368219809</v>
      </c>
    </row>
    <row r="608" spans="1:6" ht="17" x14ac:dyDescent="0.25">
      <c r="A608" s="2">
        <v>44439</v>
      </c>
      <c r="B608" s="3">
        <v>15259.24</v>
      </c>
      <c r="C608">
        <f t="shared" si="27"/>
        <v>2021</v>
      </c>
      <c r="D608">
        <f t="shared" si="28"/>
        <v>8</v>
      </c>
      <c r="E608" s="7" cm="1">
        <f t="array" ref="E608">LOOKUP(12, D:D/(C:C = C608 - 1), B:B)</f>
        <v>12888.28</v>
      </c>
      <c r="F608">
        <f t="shared" si="29"/>
        <v>1.1839624837449216</v>
      </c>
    </row>
    <row r="609" spans="1:6" ht="17" x14ac:dyDescent="0.25">
      <c r="A609" s="2">
        <v>44469</v>
      </c>
      <c r="B609" s="3">
        <v>14448.58</v>
      </c>
      <c r="C609">
        <f t="shared" si="27"/>
        <v>2021</v>
      </c>
      <c r="D609">
        <f t="shared" si="28"/>
        <v>9</v>
      </c>
      <c r="E609" s="7" cm="1">
        <f t="array" ref="E609">LOOKUP(12, D:D/(C:C = C609 - 1), B:B)</f>
        <v>12888.28</v>
      </c>
      <c r="F609">
        <f t="shared" si="29"/>
        <v>1.1210634778263662</v>
      </c>
    </row>
    <row r="610" spans="1:6" ht="17" x14ac:dyDescent="0.25">
      <c r="A610" s="2">
        <v>44498</v>
      </c>
      <c r="B610" s="3">
        <v>15498.39</v>
      </c>
      <c r="C610">
        <f t="shared" si="27"/>
        <v>2021</v>
      </c>
      <c r="D610">
        <f t="shared" si="28"/>
        <v>10</v>
      </c>
      <c r="E610" s="7" cm="1">
        <f t="array" ref="E610">LOOKUP(12, D:D/(C:C = C610 - 1), B:B)</f>
        <v>12888.28</v>
      </c>
      <c r="F610">
        <f t="shared" si="29"/>
        <v>1.2025181017172188</v>
      </c>
    </row>
    <row r="611" spans="1:6" ht="17" x14ac:dyDescent="0.25">
      <c r="A611" s="2">
        <v>44530</v>
      </c>
      <c r="B611" s="3">
        <v>15537.69</v>
      </c>
      <c r="C611">
        <f t="shared" si="27"/>
        <v>2021</v>
      </c>
      <c r="D611">
        <f t="shared" si="28"/>
        <v>11</v>
      </c>
      <c r="E611" s="7" cm="1">
        <f t="array" ref="E611">LOOKUP(12, D:D/(C:C = C611 - 1), B:B)</f>
        <v>12888.28</v>
      </c>
      <c r="F611">
        <f t="shared" si="29"/>
        <v>1.2055673837005403</v>
      </c>
    </row>
    <row r="612" spans="1:6" ht="17" x14ac:dyDescent="0.25">
      <c r="A612" s="2">
        <v>44561</v>
      </c>
      <c r="B612" s="3">
        <v>15644.97</v>
      </c>
      <c r="C612">
        <f t="shared" si="27"/>
        <v>2021</v>
      </c>
      <c r="D612">
        <f t="shared" si="28"/>
        <v>12</v>
      </c>
      <c r="E612" s="7" cm="1">
        <f t="array" ref="E612">LOOKUP(12, D:D/(C:C = C612 - 1), B:B)</f>
        <v>12888.28</v>
      </c>
      <c r="F612">
        <f t="shared" si="29"/>
        <v>1.2138912252061562</v>
      </c>
    </row>
    <row r="613" spans="1:6" ht="17" x14ac:dyDescent="0.25">
      <c r="A613" s="2">
        <v>44592</v>
      </c>
      <c r="B613" s="3">
        <v>14239.88</v>
      </c>
      <c r="C613">
        <f t="shared" si="27"/>
        <v>2022</v>
      </c>
      <c r="D613">
        <f t="shared" si="28"/>
        <v>1</v>
      </c>
      <c r="E613" s="7" cm="1">
        <f t="array" ref="E613">LOOKUP(12, D:D/(C:C = C613 - 1), B:B)</f>
        <v>15644.97</v>
      </c>
      <c r="F613">
        <f t="shared" si="29"/>
        <v>0.91018902561014814</v>
      </c>
    </row>
    <row r="614" spans="1:6" ht="17" x14ac:dyDescent="0.25">
      <c r="A614" s="2">
        <v>44620</v>
      </c>
      <c r="B614" s="3">
        <v>13751.4</v>
      </c>
      <c r="C614">
        <f t="shared" si="27"/>
        <v>2022</v>
      </c>
      <c r="D614">
        <f t="shared" si="28"/>
        <v>2</v>
      </c>
      <c r="E614" s="7" cm="1">
        <f t="array" ref="E614">LOOKUP(12, D:D/(C:C = C614 - 1), B:B)</f>
        <v>15644.97</v>
      </c>
      <c r="F614">
        <f t="shared" si="29"/>
        <v>0.87896621086521742</v>
      </c>
    </row>
    <row r="615" spans="1:6" ht="17" x14ac:dyDescent="0.25">
      <c r="A615" s="2">
        <v>44651</v>
      </c>
      <c r="B615" s="3">
        <v>14220.52</v>
      </c>
      <c r="C615">
        <f t="shared" si="27"/>
        <v>2022</v>
      </c>
      <c r="D615">
        <f t="shared" si="28"/>
        <v>3</v>
      </c>
      <c r="E615" s="7" cm="1">
        <f t="array" ref="E615">LOOKUP(12, D:D/(C:C = C615 - 1), B:B)</f>
        <v>15644.97</v>
      </c>
      <c r="F615">
        <f t="shared" si="29"/>
        <v>0.90895156718101733</v>
      </c>
    </row>
    <row r="616" spans="1:6" ht="17" x14ac:dyDescent="0.25">
      <c r="A616" s="2">
        <v>44680</v>
      </c>
      <c r="B616" s="3">
        <v>12334.64</v>
      </c>
      <c r="C616">
        <f t="shared" si="27"/>
        <v>2022</v>
      </c>
      <c r="D616">
        <f t="shared" si="28"/>
        <v>4</v>
      </c>
      <c r="E616" s="7" cm="1">
        <f t="array" ref="E616">LOOKUP(12, D:D/(C:C = C616 - 1), B:B)</f>
        <v>15644.97</v>
      </c>
      <c r="F616">
        <f t="shared" si="29"/>
        <v>0.78840930982929336</v>
      </c>
    </row>
    <row r="617" spans="1:6" ht="17" x14ac:dyDescent="0.25">
      <c r="A617" s="2">
        <v>44712</v>
      </c>
      <c r="B617" s="3">
        <v>12081.39</v>
      </c>
      <c r="C617">
        <f t="shared" si="27"/>
        <v>2022</v>
      </c>
      <c r="D617">
        <f t="shared" si="28"/>
        <v>5</v>
      </c>
      <c r="E617" s="7" cm="1">
        <f t="array" ref="E617">LOOKUP(12, D:D/(C:C = C617 - 1), B:B)</f>
        <v>15644.97</v>
      </c>
      <c r="F617">
        <f t="shared" si="29"/>
        <v>0.77222199850814666</v>
      </c>
    </row>
    <row r="618" spans="1:6" ht="17" x14ac:dyDescent="0.25">
      <c r="A618" s="2">
        <v>44742</v>
      </c>
      <c r="B618" s="3">
        <v>11028.74</v>
      </c>
      <c r="C618">
        <f t="shared" si="27"/>
        <v>2022</v>
      </c>
      <c r="D618">
        <f t="shared" si="28"/>
        <v>6</v>
      </c>
      <c r="E618" s="7" cm="1">
        <f t="array" ref="E618">LOOKUP(12, D:D/(C:C = C618 - 1), B:B)</f>
        <v>15644.97</v>
      </c>
      <c r="F618">
        <f t="shared" si="29"/>
        <v>0.70493839233951872</v>
      </c>
    </row>
    <row r="619" spans="1:6" ht="17" x14ac:dyDescent="0.25">
      <c r="A619" s="2">
        <v>44771</v>
      </c>
      <c r="B619" s="3">
        <v>12390.69</v>
      </c>
      <c r="C619">
        <f t="shared" si="27"/>
        <v>2022</v>
      </c>
      <c r="D619">
        <f t="shared" si="28"/>
        <v>7</v>
      </c>
      <c r="E619" s="7" cm="1">
        <f t="array" ref="E619">LOOKUP(12, D:D/(C:C = C619 - 1), B:B)</f>
        <v>15644.97</v>
      </c>
      <c r="F619">
        <f t="shared" si="29"/>
        <v>0.79199193095288778</v>
      </c>
    </row>
    <row r="620" spans="1:6" ht="17" x14ac:dyDescent="0.25">
      <c r="A620" s="2">
        <v>44804</v>
      </c>
      <c r="B620" s="3">
        <v>11816.2</v>
      </c>
      <c r="C620">
        <f t="shared" si="27"/>
        <v>2022</v>
      </c>
      <c r="D620">
        <f t="shared" si="28"/>
        <v>8</v>
      </c>
      <c r="E620" s="7" cm="1">
        <f t="array" ref="E620">LOOKUP(12, D:D/(C:C = C620 - 1), B:B)</f>
        <v>15644.97</v>
      </c>
      <c r="F620">
        <f t="shared" si="29"/>
        <v>0.75527150259795972</v>
      </c>
    </row>
    <row r="621" spans="1:6" ht="17" x14ac:dyDescent="0.25">
      <c r="A621" s="2">
        <v>44834</v>
      </c>
      <c r="B621" s="3">
        <v>10575.62</v>
      </c>
      <c r="C621">
        <f t="shared" si="27"/>
        <v>2022</v>
      </c>
      <c r="D621">
        <f t="shared" si="28"/>
        <v>9</v>
      </c>
      <c r="E621" s="7" cm="1">
        <f t="array" ref="E621">LOOKUP(12, D:D/(C:C = C621 - 1), B:B)</f>
        <v>15644.97</v>
      </c>
      <c r="F621">
        <f t="shared" si="29"/>
        <v>0.67597572894035596</v>
      </c>
    </row>
    <row r="622" spans="1:6" ht="17" x14ac:dyDescent="0.25">
      <c r="A622" s="2">
        <v>44865</v>
      </c>
      <c r="B622" s="3">
        <v>10988.15</v>
      </c>
      <c r="C622">
        <f t="shared" si="27"/>
        <v>2022</v>
      </c>
      <c r="D622">
        <f t="shared" si="28"/>
        <v>10</v>
      </c>
      <c r="E622" s="7" cm="1">
        <f t="array" ref="E622">LOOKUP(12, D:D/(C:C = C622 - 1), B:B)</f>
        <v>15644.97</v>
      </c>
      <c r="F622">
        <f t="shared" si="29"/>
        <v>0.70234394824662494</v>
      </c>
    </row>
    <row r="623" spans="1:6" ht="17" x14ac:dyDescent="0.25">
      <c r="A623" s="2">
        <v>44895</v>
      </c>
      <c r="B623" s="3">
        <v>11468</v>
      </c>
      <c r="C623">
        <f t="shared" si="27"/>
        <v>2022</v>
      </c>
      <c r="D623">
        <f t="shared" si="28"/>
        <v>11</v>
      </c>
      <c r="E623" s="7" cm="1">
        <f t="array" ref="E623">LOOKUP(12, D:D/(C:C = C623 - 1), B:B)</f>
        <v>15644.97</v>
      </c>
      <c r="F623">
        <f t="shared" si="29"/>
        <v>0.73301514799964462</v>
      </c>
    </row>
    <row r="624" spans="1:6" ht="17" x14ac:dyDescent="0.25">
      <c r="A624" s="2">
        <v>44926</v>
      </c>
      <c r="B624" s="3">
        <v>10466.48</v>
      </c>
      <c r="C624">
        <f t="shared" si="27"/>
        <v>2022</v>
      </c>
      <c r="D624">
        <f t="shared" si="28"/>
        <v>12</v>
      </c>
      <c r="E624" s="7" cm="1">
        <f t="array" ref="E624">LOOKUP(12, D:D/(C:C = C624 - 1), B:B)</f>
        <v>15644.97</v>
      </c>
      <c r="F624">
        <f t="shared" si="29"/>
        <v>0.66899968488274508</v>
      </c>
    </row>
    <row r="625" spans="1:6" ht="17" x14ac:dyDescent="0.25">
      <c r="A625" s="2">
        <v>44957</v>
      </c>
      <c r="B625" s="3">
        <v>11584.55</v>
      </c>
      <c r="C625">
        <f t="shared" si="27"/>
        <v>2023</v>
      </c>
      <c r="D625">
        <f t="shared" si="28"/>
        <v>1</v>
      </c>
      <c r="E625" s="7" cm="1">
        <f t="array" ref="E625">LOOKUP(12, D:D/(C:C = C625 - 1), B:B)</f>
        <v>10466.48</v>
      </c>
      <c r="F625">
        <f t="shared" si="29"/>
        <v>1.1068238796615482</v>
      </c>
    </row>
    <row r="626" spans="1:6" ht="17" x14ac:dyDescent="0.25">
      <c r="A626" s="2">
        <v>44985</v>
      </c>
      <c r="B626" s="3">
        <v>11455.54</v>
      </c>
      <c r="C626">
        <f t="shared" si="27"/>
        <v>2023</v>
      </c>
      <c r="D626">
        <f t="shared" si="28"/>
        <v>2</v>
      </c>
      <c r="E626" s="7" cm="1">
        <f t="array" ref="E626">LOOKUP(12, D:D/(C:C = C626 - 1), B:B)</f>
        <v>10466.48</v>
      </c>
      <c r="F626">
        <f t="shared" si="29"/>
        <v>1.0944978636561673</v>
      </c>
    </row>
    <row r="627" spans="1:6" ht="17" x14ac:dyDescent="0.25">
      <c r="A627" s="2">
        <v>45016</v>
      </c>
      <c r="B627" s="3">
        <v>12221.91</v>
      </c>
      <c r="C627">
        <f t="shared" si="27"/>
        <v>2023</v>
      </c>
      <c r="D627">
        <f t="shared" si="28"/>
        <v>3</v>
      </c>
      <c r="E627" s="7" cm="1">
        <f t="array" ref="E627">LOOKUP(12, D:D/(C:C = C627 - 1), B:B)</f>
        <v>10466.48</v>
      </c>
      <c r="F627">
        <f t="shared" si="29"/>
        <v>1.1677192332092547</v>
      </c>
    </row>
    <row r="628" spans="1:6" ht="17" x14ac:dyDescent="0.25">
      <c r="A628" s="2">
        <v>45044</v>
      </c>
      <c r="B628" s="3">
        <v>12226.58</v>
      </c>
      <c r="C628">
        <f t="shared" si="27"/>
        <v>2023</v>
      </c>
      <c r="D628">
        <f t="shared" si="28"/>
        <v>4</v>
      </c>
      <c r="E628" s="7" cm="1">
        <f t="array" ref="E628">LOOKUP(12, D:D/(C:C = C628 - 1), B:B)</f>
        <v>10466.48</v>
      </c>
      <c r="F628">
        <f t="shared" si="29"/>
        <v>1.1681654195106665</v>
      </c>
    </row>
    <row r="629" spans="1:6" ht="17" x14ac:dyDescent="0.25">
      <c r="A629" s="2">
        <v>45077</v>
      </c>
      <c r="B629" s="3">
        <v>12935.29</v>
      </c>
      <c r="C629">
        <f t="shared" si="27"/>
        <v>2023</v>
      </c>
      <c r="D629">
        <f t="shared" si="28"/>
        <v>5</v>
      </c>
      <c r="E629" s="7" cm="1">
        <f t="array" ref="E629">LOOKUP(12, D:D/(C:C = C629 - 1), B:B)</f>
        <v>10466.48</v>
      </c>
      <c r="F629">
        <f t="shared" si="29"/>
        <v>1.2358777736163449</v>
      </c>
    </row>
    <row r="630" spans="1:6" ht="17" x14ac:dyDescent="0.25">
      <c r="A630" s="2">
        <v>45107</v>
      </c>
      <c r="B630" s="3">
        <v>13787.92</v>
      </c>
      <c r="C630">
        <f t="shared" si="27"/>
        <v>2023</v>
      </c>
      <c r="D630">
        <f t="shared" si="28"/>
        <v>6</v>
      </c>
      <c r="E630" s="7" cm="1">
        <f t="array" ref="E630">LOOKUP(12, D:D/(C:C = C630 - 1), B:B)</f>
        <v>10466.48</v>
      </c>
      <c r="F630">
        <f t="shared" si="29"/>
        <v>1.3173406914263439</v>
      </c>
    </row>
    <row r="631" spans="1:6" ht="17" x14ac:dyDescent="0.25">
      <c r="A631" s="2">
        <v>45138</v>
      </c>
      <c r="B631" s="3">
        <v>14346.02</v>
      </c>
      <c r="C631">
        <f t="shared" si="27"/>
        <v>2023</v>
      </c>
      <c r="D631">
        <f t="shared" si="28"/>
        <v>7</v>
      </c>
      <c r="E631" s="7" cm="1">
        <f t="array" ref="E631">LOOKUP(12, D:D/(C:C = C631 - 1), B:B)</f>
        <v>10466.48</v>
      </c>
      <c r="F631">
        <f t="shared" si="29"/>
        <v>1.3706632984537306</v>
      </c>
    </row>
    <row r="632" spans="1:6" ht="17" x14ac:dyDescent="0.25">
      <c r="A632" s="2">
        <v>45169</v>
      </c>
      <c r="B632" s="3">
        <v>14034.97</v>
      </c>
      <c r="C632">
        <f t="shared" si="27"/>
        <v>2023</v>
      </c>
      <c r="D632">
        <f t="shared" si="28"/>
        <v>8</v>
      </c>
      <c r="E632" s="7" cm="1">
        <f t="array" ref="E632">LOOKUP(12, D:D/(C:C = C632 - 1), B:B)</f>
        <v>10466.48</v>
      </c>
      <c r="F632">
        <f t="shared" si="29"/>
        <v>1.3409446155727618</v>
      </c>
    </row>
    <row r="633" spans="1:6" ht="17" x14ac:dyDescent="0.25">
      <c r="A633" s="2">
        <v>45198</v>
      </c>
      <c r="B633" s="3">
        <v>13219.32</v>
      </c>
      <c r="C633">
        <f t="shared" si="27"/>
        <v>2023</v>
      </c>
      <c r="D633">
        <f t="shared" si="28"/>
        <v>9</v>
      </c>
      <c r="E633" s="7" cm="1">
        <f t="array" ref="E633">LOOKUP(12, D:D/(C:C = C633 - 1), B:B)</f>
        <v>10466.48</v>
      </c>
      <c r="F633">
        <f t="shared" si="29"/>
        <v>1.2630148817940703</v>
      </c>
    </row>
    <row r="634" spans="1:6" ht="17" x14ac:dyDescent="0.25">
      <c r="A634" s="2">
        <v>45230</v>
      </c>
      <c r="B634" s="3">
        <v>12851.24</v>
      </c>
      <c r="C634">
        <f t="shared" si="27"/>
        <v>2023</v>
      </c>
      <c r="D634">
        <f t="shared" si="28"/>
        <v>10</v>
      </c>
      <c r="E634" s="7" cm="1">
        <f t="array" ref="E634">LOOKUP(12, D:D/(C:C = C634 - 1), B:B)</f>
        <v>10466.48</v>
      </c>
      <c r="F634">
        <f t="shared" si="29"/>
        <v>1.2278473756219856</v>
      </c>
    </row>
    <row r="635" spans="1:6" ht="17" x14ac:dyDescent="0.25">
      <c r="A635" s="2">
        <v>45260</v>
      </c>
      <c r="B635" s="3">
        <v>14226.22</v>
      </c>
      <c r="C635">
        <f t="shared" si="27"/>
        <v>2023</v>
      </c>
      <c r="D635">
        <f t="shared" si="28"/>
        <v>11</v>
      </c>
      <c r="E635" s="7" cm="1">
        <f t="array" ref="E635">LOOKUP(12, D:D/(C:C = C635 - 1), B:B)</f>
        <v>10466.48</v>
      </c>
      <c r="F635">
        <f t="shared" si="29"/>
        <v>1.3592172344474933</v>
      </c>
    </row>
    <row r="636" spans="1:6" ht="17" x14ac:dyDescent="0.25">
      <c r="A636" s="2">
        <v>45289</v>
      </c>
      <c r="B636" s="3">
        <v>15011.35</v>
      </c>
      <c r="C636">
        <f t="shared" si="27"/>
        <v>2023</v>
      </c>
      <c r="D636">
        <f t="shared" si="28"/>
        <v>12</v>
      </c>
      <c r="E636" s="7" cm="1">
        <f t="array" ref="E636">LOOKUP(12, D:D/(C:C = C636 - 1), B:B)</f>
        <v>10466.48</v>
      </c>
      <c r="F636">
        <f t="shared" si="29"/>
        <v>1.4342309926546462</v>
      </c>
    </row>
    <row r="637" spans="1:6" ht="17" x14ac:dyDescent="0.25">
      <c r="A637" s="2">
        <v>45322</v>
      </c>
      <c r="B637" s="3">
        <v>15164.01</v>
      </c>
      <c r="C637">
        <f t="shared" si="27"/>
        <v>2024</v>
      </c>
      <c r="D637">
        <f t="shared" si="28"/>
        <v>1</v>
      </c>
      <c r="E637" s="7" cm="1">
        <f t="array" ref="E637">LOOKUP(12, D:D/(C:C = C637 - 1), B:B)</f>
        <v>15011.35</v>
      </c>
      <c r="F637">
        <f t="shared" si="29"/>
        <v>1.0101696383070145</v>
      </c>
    </row>
    <row r="638" spans="1:6" ht="17" x14ac:dyDescent="0.25">
      <c r="A638" s="2">
        <v>45351</v>
      </c>
      <c r="B638" s="3">
        <v>16091.92</v>
      </c>
      <c r="C638">
        <f t="shared" si="27"/>
        <v>2024</v>
      </c>
      <c r="D638">
        <f t="shared" si="28"/>
        <v>2</v>
      </c>
      <c r="E638" s="7" cm="1">
        <f t="array" ref="E638">LOOKUP(12, D:D/(C:C = C638 - 1), B:B)</f>
        <v>15011.35</v>
      </c>
      <c r="F638">
        <f t="shared" si="29"/>
        <v>1.0719835324604383</v>
      </c>
    </row>
    <row r="639" spans="1:6" ht="17" x14ac:dyDescent="0.25">
      <c r="A639" s="2">
        <v>45379</v>
      </c>
      <c r="B639" s="3">
        <v>16379.46</v>
      </c>
      <c r="C639">
        <f t="shared" si="27"/>
        <v>2024</v>
      </c>
      <c r="D639">
        <f t="shared" si="28"/>
        <v>3</v>
      </c>
      <c r="E639" s="7" cm="1">
        <f t="array" ref="E639">LOOKUP(12, D:D/(C:C = C639 - 1), B:B)</f>
        <v>15011.35</v>
      </c>
      <c r="F639">
        <f t="shared" si="29"/>
        <v>1.0911383719652128</v>
      </c>
    </row>
    <row r="640" spans="1:6" ht="17" x14ac:dyDescent="0.25">
      <c r="A640" s="2">
        <v>45412</v>
      </c>
      <c r="B640" s="3">
        <v>15657.82</v>
      </c>
      <c r="C640">
        <f t="shared" si="27"/>
        <v>2024</v>
      </c>
      <c r="D640">
        <f t="shared" si="28"/>
        <v>4</v>
      </c>
      <c r="E640" s="7" cm="1">
        <f t="array" ref="E640">LOOKUP(12, D:D/(C:C = C640 - 1), B:B)</f>
        <v>15011.35</v>
      </c>
      <c r="F640">
        <f t="shared" si="29"/>
        <v>1.0430654138368634</v>
      </c>
    </row>
    <row r="641" spans="1:6" ht="17" x14ac:dyDescent="0.25">
      <c r="A641" s="2">
        <v>45443</v>
      </c>
      <c r="B641" s="3">
        <v>16735.02</v>
      </c>
      <c r="C641">
        <f t="shared" si="27"/>
        <v>2024</v>
      </c>
      <c r="D641">
        <f t="shared" si="28"/>
        <v>5</v>
      </c>
      <c r="E641" s="7" cm="1">
        <f t="array" ref="E641">LOOKUP(12, D:D/(C:C = C641 - 1), B:B)</f>
        <v>15011.35</v>
      </c>
      <c r="F641">
        <f t="shared" si="29"/>
        <v>1.1148244494998785</v>
      </c>
    </row>
    <row r="642" spans="1:6" ht="17" x14ac:dyDescent="0.25">
      <c r="A642" s="2">
        <v>45471</v>
      </c>
      <c r="B642" s="3">
        <v>17732.599999999999</v>
      </c>
      <c r="C642">
        <f t="shared" ref="C642:C659" si="30">YEAR(A642)</f>
        <v>2024</v>
      </c>
      <c r="D642">
        <f t="shared" ref="D642:D659" si="31">MONTH(A642)</f>
        <v>6</v>
      </c>
      <c r="E642" s="7" cm="1">
        <f t="array" ref="E642">LOOKUP(12, D:D/(C:C = C642 - 1), B:B)</f>
        <v>15011.35</v>
      </c>
      <c r="F642">
        <f t="shared" si="29"/>
        <v>1.1812794985127919</v>
      </c>
    </row>
    <row r="643" spans="1:6" ht="17" x14ac:dyDescent="0.25">
      <c r="A643" s="2">
        <v>45504</v>
      </c>
      <c r="B643" s="3">
        <v>17599.400000000001</v>
      </c>
      <c r="C643">
        <f t="shared" si="30"/>
        <v>2024</v>
      </c>
      <c r="D643">
        <f t="shared" si="31"/>
        <v>7</v>
      </c>
      <c r="E643" s="7" cm="1">
        <f t="array" ref="E643">LOOKUP(12, D:D/(C:C = C643 - 1), B:B)</f>
        <v>15011.35</v>
      </c>
      <c r="F643">
        <f t="shared" ref="F643:F659" si="32">B643/E643</f>
        <v>1.1724062126324415</v>
      </c>
    </row>
    <row r="644" spans="1:6" ht="17" x14ac:dyDescent="0.25">
      <c r="A644" s="2">
        <v>45534</v>
      </c>
      <c r="B644" s="3">
        <v>17713.62</v>
      </c>
      <c r="C644">
        <f t="shared" si="30"/>
        <v>2024</v>
      </c>
      <c r="D644">
        <f t="shared" si="31"/>
        <v>8</v>
      </c>
      <c r="E644" s="7" cm="1">
        <f t="array" ref="E644">LOOKUP(12, D:D/(C:C = C644 - 1), B:B)</f>
        <v>15011.35</v>
      </c>
      <c r="F644">
        <f t="shared" si="32"/>
        <v>1.1800151218911024</v>
      </c>
    </row>
    <row r="645" spans="1:6" ht="17" x14ac:dyDescent="0.25">
      <c r="A645" s="2">
        <v>45565</v>
      </c>
      <c r="B645" s="3">
        <v>18189.169999999998</v>
      </c>
      <c r="C645">
        <f t="shared" si="30"/>
        <v>2024</v>
      </c>
      <c r="D645">
        <f t="shared" si="31"/>
        <v>9</v>
      </c>
      <c r="E645" s="7" cm="1">
        <f t="array" ref="E645">LOOKUP(12, D:D/(C:C = C645 - 1), B:B)</f>
        <v>15011.35</v>
      </c>
      <c r="F645">
        <f t="shared" si="32"/>
        <v>1.211694484506723</v>
      </c>
    </row>
    <row r="646" spans="1:6" ht="17" x14ac:dyDescent="0.25">
      <c r="A646" s="2">
        <v>45596</v>
      </c>
      <c r="B646" s="3">
        <v>18095.150000000001</v>
      </c>
      <c r="C646">
        <f t="shared" si="30"/>
        <v>2024</v>
      </c>
      <c r="D646">
        <f t="shared" si="31"/>
        <v>10</v>
      </c>
      <c r="E646" s="7" cm="1">
        <f t="array" ref="E646">LOOKUP(12, D:D/(C:C = C646 - 1), B:B)</f>
        <v>15011.35</v>
      </c>
      <c r="F646">
        <f t="shared" si="32"/>
        <v>1.2054312237073948</v>
      </c>
    </row>
    <row r="647" spans="1:6" ht="17" x14ac:dyDescent="0.25">
      <c r="A647" s="2">
        <v>45625</v>
      </c>
      <c r="B647" s="3">
        <v>19218.169999999998</v>
      </c>
      <c r="C647">
        <f t="shared" si="30"/>
        <v>2024</v>
      </c>
      <c r="D647">
        <f t="shared" si="31"/>
        <v>11</v>
      </c>
      <c r="E647" s="7" cm="1">
        <f t="array" ref="E647">LOOKUP(12, D:D/(C:C = C647 - 1), B:B)</f>
        <v>15011.35</v>
      </c>
      <c r="F647">
        <f t="shared" si="32"/>
        <v>1.2802426164202418</v>
      </c>
    </row>
    <row r="648" spans="1:6" ht="17" x14ac:dyDescent="0.25">
      <c r="A648" s="2">
        <v>45657</v>
      </c>
      <c r="B648" s="3">
        <v>19310.79</v>
      </c>
      <c r="C648">
        <f t="shared" si="30"/>
        <v>2024</v>
      </c>
      <c r="D648">
        <f t="shared" si="31"/>
        <v>12</v>
      </c>
      <c r="E648" s="7" cm="1">
        <f t="array" ref="E648">LOOKUP(12, D:D/(C:C = C648 - 1), B:B)</f>
        <v>15011.35</v>
      </c>
      <c r="F648">
        <f t="shared" si="32"/>
        <v>1.2864126144550623</v>
      </c>
    </row>
    <row r="649" spans="1:6" ht="17" x14ac:dyDescent="0.25">
      <c r="A649" s="2">
        <v>45688</v>
      </c>
      <c r="B649" s="3">
        <v>19627.439999999999</v>
      </c>
      <c r="C649">
        <f t="shared" si="30"/>
        <v>2025</v>
      </c>
      <c r="D649">
        <f t="shared" si="31"/>
        <v>1</v>
      </c>
      <c r="E649" s="7" cm="1">
        <f t="array" ref="E649">LOOKUP(12, D:D/(C:C = C649 - 1), B:B)</f>
        <v>19310.79</v>
      </c>
      <c r="F649">
        <f t="shared" si="32"/>
        <v>1.0163975684060569</v>
      </c>
    </row>
    <row r="650" spans="1:6" ht="17" x14ac:dyDescent="0.25">
      <c r="A650" s="2">
        <v>45716</v>
      </c>
      <c r="B650" s="3">
        <v>18847.28</v>
      </c>
      <c r="C650">
        <f t="shared" si="30"/>
        <v>2025</v>
      </c>
      <c r="D650">
        <f t="shared" si="31"/>
        <v>2</v>
      </c>
      <c r="E650" s="7" cm="1">
        <f t="array" ref="E650">LOOKUP(12, D:D/(C:C = C650 - 1), B:B)</f>
        <v>19310.79</v>
      </c>
      <c r="F650">
        <f t="shared" si="32"/>
        <v>0.97599735691807521</v>
      </c>
    </row>
    <row r="651" spans="1:6" ht="17" x14ac:dyDescent="0.25">
      <c r="A651" s="2">
        <v>45747</v>
      </c>
      <c r="B651" s="3">
        <v>17299.29</v>
      </c>
      <c r="C651">
        <f t="shared" si="30"/>
        <v>2025</v>
      </c>
      <c r="D651">
        <f t="shared" si="31"/>
        <v>3</v>
      </c>
      <c r="E651" s="7" cm="1">
        <f t="array" ref="E651">LOOKUP(12, D:D/(C:C = C651 - 1), B:B)</f>
        <v>19310.79</v>
      </c>
      <c r="F651">
        <f t="shared" si="32"/>
        <v>0.89583543707947733</v>
      </c>
    </row>
    <row r="652" spans="1:6" ht="17" x14ac:dyDescent="0.25">
      <c r="A652" s="2">
        <v>45777</v>
      </c>
      <c r="B652" s="3">
        <v>17446.34</v>
      </c>
      <c r="C652">
        <f t="shared" si="30"/>
        <v>2025</v>
      </c>
      <c r="D652">
        <f t="shared" si="31"/>
        <v>4</v>
      </c>
      <c r="E652" s="7" cm="1">
        <f t="array" ref="E652">LOOKUP(12, D:D/(C:C = C652 - 1), B:B)</f>
        <v>19310.79</v>
      </c>
      <c r="F652">
        <f t="shared" si="32"/>
        <v>0.90345035081423386</v>
      </c>
    </row>
    <row r="653" spans="1:6" ht="17" x14ac:dyDescent="0.25">
      <c r="A653" s="2">
        <v>45807</v>
      </c>
      <c r="B653" s="3">
        <v>19113.77</v>
      </c>
      <c r="C653">
        <f t="shared" si="30"/>
        <v>2025</v>
      </c>
      <c r="D653">
        <f t="shared" si="31"/>
        <v>5</v>
      </c>
      <c r="E653" s="7" cm="1">
        <f t="array" ref="E653">LOOKUP(12, D:D/(C:C = C653 - 1), B:B)</f>
        <v>19310.79</v>
      </c>
      <c r="F653">
        <f t="shared" si="32"/>
        <v>0.98979741377747876</v>
      </c>
    </row>
    <row r="654" spans="1:6" ht="17" x14ac:dyDescent="0.25">
      <c r="A654" s="2">
        <v>45838</v>
      </c>
      <c r="B654" s="3">
        <v>20369.73</v>
      </c>
      <c r="C654">
        <f t="shared" si="30"/>
        <v>2025</v>
      </c>
      <c r="D654">
        <f t="shared" si="31"/>
        <v>6</v>
      </c>
      <c r="E654" s="7" cm="1">
        <f t="array" ref="E654">LOOKUP(12, D:D/(C:C = C654 - 1), B:B)</f>
        <v>19310.79</v>
      </c>
      <c r="F654">
        <f t="shared" si="32"/>
        <v>1.0548367001039314</v>
      </c>
    </row>
    <row r="655" spans="1:6" ht="17" x14ac:dyDescent="0.25">
      <c r="A655" s="2">
        <v>45869</v>
      </c>
      <c r="B655" s="3">
        <v>21122.45</v>
      </c>
      <c r="C655">
        <f t="shared" si="30"/>
        <v>2025</v>
      </c>
      <c r="D655">
        <f t="shared" si="31"/>
        <v>7</v>
      </c>
      <c r="E655" s="7" cm="1">
        <f t="array" ref="E655">LOOKUP(12, D:D/(C:C = C655 - 1), B:B)</f>
        <v>19310.79</v>
      </c>
      <c r="F655">
        <f t="shared" si="32"/>
        <v>1.0938159443502828</v>
      </c>
    </row>
    <row r="656" spans="1:6" ht="17" x14ac:dyDescent="0.25">
      <c r="A656" s="2">
        <v>45898</v>
      </c>
      <c r="B656" s="3">
        <v>21455.55</v>
      </c>
      <c r="C656">
        <f t="shared" si="30"/>
        <v>2025</v>
      </c>
      <c r="D656">
        <f t="shared" si="31"/>
        <v>8</v>
      </c>
      <c r="E656" s="7" cm="1">
        <f t="array" ref="E656">LOOKUP(12, D:D/(C:C = C656 - 1), B:B)</f>
        <v>19310.79</v>
      </c>
      <c r="F656">
        <f t="shared" si="32"/>
        <v>1.1110653681180314</v>
      </c>
    </row>
    <row r="657" spans="1:6" ht="17" x14ac:dyDescent="0.25">
      <c r="A657" s="2">
        <v>45930</v>
      </c>
      <c r="B657" s="3">
        <v>22660.01</v>
      </c>
      <c r="C657">
        <f t="shared" si="30"/>
        <v>2025</v>
      </c>
      <c r="D657">
        <f t="shared" si="31"/>
        <v>9</v>
      </c>
      <c r="E657" s="7" cm="1">
        <f t="array" ref="E657">LOOKUP(12, D:D/(C:C = C657 - 1), B:B)</f>
        <v>19310.79</v>
      </c>
      <c r="F657">
        <f t="shared" si="32"/>
        <v>1.173437751640404</v>
      </c>
    </row>
    <row r="658" spans="1:6" ht="17" x14ac:dyDescent="0.25">
      <c r="A658" s="2">
        <v>45961</v>
      </c>
      <c r="B658" s="3">
        <v>23724.959999999999</v>
      </c>
      <c r="C658">
        <f t="shared" si="30"/>
        <v>2025</v>
      </c>
      <c r="D658">
        <f t="shared" si="31"/>
        <v>10</v>
      </c>
      <c r="E658" s="7" cm="1">
        <f t="array" ref="E658">LOOKUP(12, D:D/(C:C = C658 - 1), B:B)</f>
        <v>19310.79</v>
      </c>
      <c r="F658">
        <f t="shared" si="32"/>
        <v>1.2285856767123458</v>
      </c>
    </row>
    <row r="659" spans="1:6" ht="17" x14ac:dyDescent="0.25">
      <c r="A659" s="2">
        <v>45971</v>
      </c>
      <c r="B659" s="3">
        <v>23527.17</v>
      </c>
      <c r="C659">
        <f t="shared" si="30"/>
        <v>2025</v>
      </c>
      <c r="D659">
        <f t="shared" si="31"/>
        <v>11</v>
      </c>
      <c r="E659" s="7" cm="1">
        <f t="array" ref="E659">LOOKUP(12, D:D/(C:C = C659 - 1), B:B)</f>
        <v>19310.79</v>
      </c>
      <c r="F659">
        <f t="shared" si="32"/>
        <v>1.2183432164090644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Yaoping Wang</dc:creator>
  <cp:lastModifiedBy>Yaoping Wang</cp:lastModifiedBy>
  <dcterms:created xsi:type="dcterms:W3CDTF">2025-11-10T01:48:57Z</dcterms:created>
  <dcterms:modified xsi:type="dcterms:W3CDTF">2025-11-12T21:28:10Z</dcterms:modified>
</cp:coreProperties>
</file>